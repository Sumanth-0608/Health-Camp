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hivangi/Downloads/"/>
    </mc:Choice>
  </mc:AlternateContent>
  <xr:revisionPtr revIDLastSave="0" documentId="13_ncr:1_{F361CD25-7163-554F-B5CB-899D0A662AD8}" xr6:coauthVersionLast="47" xr6:coauthVersionMax="47" xr10:uidLastSave="{00000000-0000-0000-0000-000000000000}"/>
  <bookViews>
    <workbookView xWindow="0" yWindow="660" windowWidth="29400" windowHeight="16660" tabRatio="500" activeTab="6" xr2:uid="{00000000-000D-0000-FFFF-FFFF00000000}"/>
  </bookViews>
  <sheets>
    <sheet name="Start Here" sheetId="1" r:id="rId1"/>
    <sheet name="Measurements" sheetId="2" r:id="rId2"/>
    <sheet name="Reports" sheetId="3" r:id="rId3"/>
    <sheet name="Food Tracker" sheetId="4" r:id="rId4"/>
    <sheet name="Movement Tracker" sheetId="5" r:id="rId5"/>
    <sheet name="Habit Tracker" sheetId="6" r:id="rId6"/>
    <sheet name="Weekly Scor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7" l="1"/>
  <c r="H16" i="7"/>
  <c r="H15" i="7"/>
  <c r="H14" i="7"/>
  <c r="H13" i="7"/>
  <c r="H12" i="7"/>
  <c r="H11" i="7"/>
  <c r="H10" i="7"/>
  <c r="H9" i="7"/>
  <c r="H8" i="7"/>
  <c r="H7" i="7"/>
  <c r="H6" i="7"/>
  <c r="H19" i="7" s="1"/>
  <c r="J87" i="6"/>
  <c r="K87" i="6" s="1"/>
  <c r="J86" i="6"/>
  <c r="K86" i="6" s="1"/>
  <c r="J85" i="6"/>
  <c r="K85" i="6" s="1"/>
  <c r="J84" i="6"/>
  <c r="K84" i="6" s="1"/>
  <c r="J80" i="6"/>
  <c r="K80" i="6" s="1"/>
  <c r="J79" i="6"/>
  <c r="K79" i="6" s="1"/>
  <c r="J78" i="6"/>
  <c r="K78" i="6" s="1"/>
  <c r="J77" i="6"/>
  <c r="K77" i="6" s="1"/>
  <c r="J73" i="6"/>
  <c r="K73" i="6" s="1"/>
  <c r="J72" i="6"/>
  <c r="K72" i="6" s="1"/>
  <c r="J71" i="6"/>
  <c r="K71" i="6" s="1"/>
  <c r="J70" i="6"/>
  <c r="K70" i="6" s="1"/>
  <c r="J66" i="6"/>
  <c r="K66" i="6" s="1"/>
  <c r="J65" i="6"/>
  <c r="K65" i="6" s="1"/>
  <c r="J64" i="6"/>
  <c r="K64" i="6" s="1"/>
  <c r="J63" i="6"/>
  <c r="K63" i="6" s="1"/>
  <c r="J59" i="6"/>
  <c r="K59" i="6" s="1"/>
  <c r="J58" i="6"/>
  <c r="K58" i="6" s="1"/>
  <c r="J57" i="6"/>
  <c r="K57" i="6" s="1"/>
  <c r="J56" i="6"/>
  <c r="K56" i="6" s="1"/>
  <c r="J52" i="6"/>
  <c r="K52" i="6" s="1"/>
  <c r="J51" i="6"/>
  <c r="K51" i="6" s="1"/>
  <c r="K50" i="6"/>
  <c r="J50" i="6"/>
  <c r="J49" i="6"/>
  <c r="K49" i="6" s="1"/>
  <c r="J45" i="6"/>
  <c r="K45" i="6" s="1"/>
  <c r="J44" i="6"/>
  <c r="K44" i="6" s="1"/>
  <c r="J43" i="6"/>
  <c r="K43" i="6" s="1"/>
  <c r="J42" i="6"/>
  <c r="K42" i="6" s="1"/>
  <c r="J37" i="6"/>
  <c r="K37" i="6" s="1"/>
  <c r="J36" i="6"/>
  <c r="K36" i="6" s="1"/>
  <c r="J35" i="6"/>
  <c r="J30" i="6"/>
  <c r="K30" i="6" s="1"/>
  <c r="J29" i="6"/>
  <c r="K29" i="6" s="1"/>
  <c r="J28" i="6"/>
  <c r="J24" i="6"/>
  <c r="K24" i="6" s="1"/>
  <c r="J23" i="6"/>
  <c r="K23" i="6" s="1"/>
  <c r="J22" i="6"/>
  <c r="K22" i="6" s="1"/>
  <c r="J21" i="6"/>
  <c r="K21" i="6" s="1"/>
  <c r="J17" i="6"/>
  <c r="K17" i="6" s="1"/>
  <c r="J16" i="6"/>
  <c r="K16" i="6" s="1"/>
  <c r="J15" i="6"/>
  <c r="K15" i="6" s="1"/>
  <c r="J14" i="6"/>
  <c r="K14" i="6" s="1"/>
  <c r="J9" i="6"/>
  <c r="K9" i="6" s="1"/>
  <c r="J8" i="6"/>
  <c r="K8" i="6" s="1"/>
  <c r="J7" i="6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D8" i="5"/>
  <c r="D7" i="5"/>
  <c r="D6" i="5"/>
  <c r="H22" i="2"/>
  <c r="G22" i="2"/>
  <c r="F22" i="2"/>
  <c r="E22" i="2"/>
  <c r="D22" i="2"/>
  <c r="C22" i="2"/>
  <c r="J38" i="6" l="1"/>
  <c r="K38" i="6" s="1"/>
  <c r="K35" i="6"/>
  <c r="J31" i="6"/>
  <c r="K31" i="6" s="1"/>
  <c r="K28" i="6"/>
  <c r="J10" i="6"/>
  <c r="K10" i="6" s="1"/>
  <c r="K7" i="6"/>
</calcChain>
</file>

<file path=xl/sharedStrings.xml><?xml version="1.0" encoding="utf-8"?>
<sst xmlns="http://schemas.openxmlformats.org/spreadsheetml/2006/main" count="284" uniqueCount="128">
  <si>
    <t>Your 90-Day Tracker</t>
  </si>
  <si>
    <t>Fill only the pale yellow cells. Green bold cells calculate on their own.</t>
  </si>
  <si>
    <t>Your name</t>
  </si>
  <si>
    <t>Your coach</t>
  </si>
  <si>
    <t>Start date (day 1)</t>
  </si>
  <si>
    <t>Your 90-day goal</t>
  </si>
  <si>
    <t>Your reason (your why)</t>
  </si>
  <si>
    <t>Session day and time</t>
  </si>
  <si>
    <t>Your two root causes</t>
  </si>
  <si>
    <t>What goes where</t>
  </si>
  <si>
    <t>Measurements - once a week, same day, same time, same clothes.</t>
  </si>
  <si>
    <t>Reports - fill what your latest report shows. Leave the rest blank and add your own tests at the bottom.</t>
  </si>
  <si>
    <t>Food Tracker - what you ate and when. We are looking for patterns, not calories.</t>
  </si>
  <si>
    <t>Movement Tracker - steps, your morning and evening activity, and anything else you moved for.</t>
  </si>
  <si>
    <t>Habit Tracker - the three action steps your coach gives you each week. Tick Y or N each day.</t>
  </si>
  <si>
    <t>Weekly Score - every Sunday, score five things out of 10.</t>
  </si>
  <si>
    <t>A missed day gets a blank, never a guess. Blank days are information too.</t>
  </si>
  <si>
    <t>Measurements - every 7 days</t>
  </si>
  <si>
    <t>Same day of the week, first thing in the morning, same clothes. Waist matters more than weight.</t>
  </si>
  <si>
    <t>Week</t>
  </si>
  <si>
    <t>Date</t>
  </si>
  <si>
    <t>Weight (kg)</t>
  </si>
  <si>
    <t>Waist (cm)</t>
  </si>
  <si>
    <t>Hips (cm)</t>
  </si>
  <si>
    <t>Chest (cm)</t>
  </si>
  <si>
    <t>Upper arm (cm)</t>
  </si>
  <si>
    <t>Thigh (cm)</t>
  </si>
  <si>
    <t>Start (day 1)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</si>
  <si>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</si>
  <si>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</si>
  <si>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</si>
  <si>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</si>
  <si>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</si>
  <si>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</si>
  <si>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</si>
  <si>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</si>
  <si>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</si>
  <si>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</si>
  <si>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</si>
  <si>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</si>
  <si>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Change so far</t>
  </si>
  <si>
    <t>Latest minus start</t>
  </si>
  <si>
    <t>Example: Start 78.4 / Week 4 77.1 / Week 8 75.6 - the box above shows -2.8 automatically.</t>
  </si>
  <si>
    <t>Blood reports</t>
  </si>
  <si>
    <t>Fill what your report shows. Leave anything you do not have blank, and add your own tests at the bottom.</t>
  </si>
  <si>
    <t>Test</t>
  </si>
  <si>
    <t>Before (date: ____)</t>
  </si>
  <si>
    <t>Day 90 (date: ____)</t>
  </si>
  <si>
    <t>Notes</t>
  </si>
  <si>
    <t>Vitamin D</t>
  </si>
  <si>
    <t>Vitamin B12</t>
  </si>
  <si>
    <t>Fasting blood sugar</t>
  </si>
  <si>
    <t>HbA1c</t>
  </si>
  <si>
    <t>Haemoglobin</t>
  </si>
  <si>
    <t>Thyroid - TSH</t>
  </si>
  <si>
    <t>Total cholesterol</t>
  </si>
  <si>
    <t>Triglycerides</t>
  </si>
  <si>
    <t>HDL</t>
  </si>
  <si>
    <t>LDL</t>
  </si>
  <si>
    <t>SGPT / ALT</t>
  </si>
  <si>
    <t>Serum creatinine</t>
  </si>
  <si>
    <t>Uric acid</t>
  </si>
  <si>
    <t>Ferritin / iron</t>
  </si>
  <si>
    <t>Insulin (fasting)</t>
  </si>
  <si>
    <t>Reports are read together with your doctor. Your coach guides habits, never medication.</t>
  </si>
  <si>
    <t>Food tracker</t>
  </si>
  <si>
    <t>Write what you ate, not how much. We are looking for patterns - timing, protein, and what happens before a craving.</t>
  </si>
  <si>
    <t>Day</t>
  </si>
  <si>
    <t>Early morning</t>
  </si>
  <si>
    <t>Breakfast</t>
  </si>
  <si>
    <t>Mid-morning</t>
  </si>
  <si>
    <t>Lunch</t>
  </si>
  <si>
    <t>Evening snack</t>
  </si>
  <si>
    <t>Dinner</t>
  </si>
  <si>
    <t>After dinner</t>
  </si>
  <si>
    <t>Water (glasses)</t>
  </si>
  <si>
    <t>Craving - and what happened just before it</t>
  </si>
  <si>
    <t>Movement tracker</t>
  </si>
  <si>
    <t>Your one hour of exercise, plus everything else you moved for. Total minutes add up on their own.</t>
  </si>
  <si>
    <t>Your averages so far</t>
  </si>
  <si>
    <t>Days filled</t>
  </si>
  <si>
    <t>Average steps a day</t>
  </si>
  <si>
    <t>Average active minutes a day</t>
  </si>
  <si>
    <t>Steps</t>
  </si>
  <si>
    <t>Morning - what I did</t>
  </si>
  <si>
    <t>Mins</t>
  </si>
  <si>
    <t>Evening - what I did</t>
  </si>
  <si>
    <t>Other movement (walk after meals, stairs, housework)</t>
  </si>
  <si>
    <t>Total active mins</t>
  </si>
  <si>
    <t>How I felt after</t>
  </si>
  <si>
    <t>Habit tracker - your weekly action steps</t>
  </si>
  <si>
    <t>Your coach gives you three small steps each week. Write them here and tick Y or N every day.</t>
  </si>
  <si>
    <t>WEEK 1</t>
  </si>
  <si>
    <t>Dates: ____________</t>
  </si>
  <si>
    <t>My action step this week</t>
  </si>
  <si>
    <t>Mon</t>
  </si>
  <si>
    <t>Tue</t>
  </si>
  <si>
    <t>Wed</t>
  </si>
  <si>
    <t>Thu</t>
  </si>
  <si>
    <t>Fri</t>
  </si>
  <si>
    <t>Sat</t>
  </si>
  <si>
    <t>Sun</t>
  </si>
  <si>
    <t>Days done</t>
  </si>
  <si>
    <t>% done</t>
  </si>
  <si>
    <t>Week score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</si>
  <si>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</si>
  <si>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</si>
  <si>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</si>
  <si>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</si>
  <si>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</si>
  <si>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</si>
  <si>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</si>
  <si>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</si>
  <si>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</si>
  <si>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</si>
  <si>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</si>
  <si>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Anything above 70% in a week is a good week. Nobody scores 100%, and nobody needs to.</t>
  </si>
  <si>
    <t>How you feel - weekly score</t>
  </si>
  <si>
    <t>Every Sunday, score each one out of 10. This is usually where change shows up first.</t>
  </si>
  <si>
    <t>Energy</t>
  </si>
  <si>
    <t>Sleep</t>
  </si>
  <si>
    <t>Digestion</t>
  </si>
  <si>
    <t>Mood</t>
  </si>
  <si>
    <t>Cravings under control</t>
  </si>
  <si>
    <t>Week average</t>
  </si>
  <si>
    <t>Change, week 1 to latest</t>
  </si>
  <si>
    <t>1 = the worst it has ever been.  10 = the best you can imagine feeling.</t>
  </si>
  <si>
    <t>Ideal range on my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</si>
</sst>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0B3D26"/>
      <name val="Arial"/>
      <family val="2"/>
    </font>
    <font>
      <sz val="10"/>
      <color rgb="FF5B6B62"/>
      <name val="Arial"/>
      <family val="2"/>
    </font>
    <font>
      <b/>
      <sz val="11"/>
      <color rgb="FF0B3D26"/>
      <name val="Arial"/>
      <family val="2"/>
    </font>
    <font>
      <sz val="11"/>
      <color rgb="FF0000FF"/>
      <name val="Arial"/>
      <family val="2"/>
    </font>
    <font>
      <b/>
      <sz val="12"/>
      <color rgb="FF006633"/>
      <name val="Arial"/>
      <family val="2"/>
    </font>
    <font>
      <sz val="11"/>
      <name val="Arial"/>
      <family val="2"/>
    </font>
    <font>
      <i/>
      <sz val="10"/>
      <color rgb="FF5B6B62"/>
      <name val="Arial"/>
      <family val="2"/>
    </font>
    <font>
      <b/>
      <sz val="11"/>
      <color rgb="FFFFFFFF"/>
      <name val="Arial"/>
      <family val="2"/>
    </font>
    <font>
      <b/>
      <sz val="10"/>
      <color rgb="FF0B3D26"/>
      <name val="Arial"/>
      <family val="2"/>
    </font>
    <font>
      <b/>
      <sz val="12"/>
      <color rgb="FFFFFFFF"/>
      <name val="Arial"/>
      <family val="2"/>
    </font>
    <font>
      <sz val="10"/>
      <color rgb="FF0B3D26"/>
      <name val="Arial"/>
      <family val="2"/>
    </font>
    <font>
      <b/>
      <sz val="10"/>
      <color rgb="FF006633"/>
      <name val="Arial"/>
      <family val="2"/>
    </font>
    <font>
      <b/>
      <sz val="11"/>
      <color rgb="FF0066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DF5"/>
        <bgColor rgb="FFFFFFFF"/>
      </patternFill>
    </fill>
    <fill>
      <patternFill patternType="solid">
        <fgColor rgb="FF006633"/>
        <bgColor rgb="FF0B3D26"/>
      </patternFill>
    </fill>
    <fill>
      <patternFill patternType="solid">
        <fgColor rgb="FFEAF4EE"/>
        <bgColor rgb="FFFFFDF5"/>
      </patternFill>
    </fill>
    <fill>
      <patternFill patternType="solid">
        <fgColor rgb="FFFFFFFF"/>
        <bgColor rgb="FFFFFDF5"/>
      </patternFill>
    </fill>
    <fill>
      <patternFill patternType="solid">
        <fgColor rgb="FFD5EADC"/>
        <bgColor rgb="FFCFE0D6"/>
      </patternFill>
    </fill>
  </fills>
  <borders count="2">
    <border>
      <left/>
      <right/>
      <top/>
      <bottom/>
      <diagonal/>
    </border>
    <border>
      <left style="thin">
        <color rgb="FFCFE0D6"/>
      </left>
      <right style="thin">
        <color rgb="FFCFE0D6"/>
      </right>
      <top style="thin">
        <color rgb="FFCFE0D6"/>
      </top>
      <bottom style="thin">
        <color rgb="FFCFE0D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6" borderId="1" xfId="0" applyFont="1" applyFill="1" applyBorder="1"/>
    <xf numFmtId="0" fontId="0" fillId="6" borderId="1" xfId="0" applyFill="1" applyBorder="1"/>
    <xf numFmtId="0" fontId="9" fillId="4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/>
    <xf numFmtId="9" fontId="3" fillId="6" borderId="1" xfId="0" applyNumberFormat="1" applyFont="1" applyFill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F5"/>
      <rgbColor rgb="FFEAF4EE"/>
      <rgbColor rgb="FF660066"/>
      <rgbColor rgb="FFFF8080"/>
      <rgbColor rgb="FF0066CC"/>
      <rgbColor rgb="FFCFE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A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62"/>
      <rgbColor rgb="FF969696"/>
      <rgbColor rgb="FF003366"/>
      <rgbColor rgb="FF339966"/>
      <rgbColor rgb="FF0B3D26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opLeftCell="A5" zoomScale="200"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3" width="52" customWidth="1"/>
  </cols>
  <sheetData>
    <row r="2" spans="2:3" ht="20" x14ac:dyDescent="0.2">
      <c r="B2" s="1" t="s">
        <v>0</v>
      </c>
    </row>
    <row r="3" spans="2:3" x14ac:dyDescent="0.2">
      <c r="B3" s="2" t="s">
        <v>1</v>
      </c>
    </row>
    <row r="5" spans="2:3" x14ac:dyDescent="0.2">
      <c r="B5" s="3" t="s">
        <v>2</v>
      </c>
      <c r="C5" s="4"/>
    </row>
    <row r="6" spans="2:3" x14ac:dyDescent="0.2">
      <c r="B6" s="3" t="s">
        <v>3</v>
      </c>
      <c r="C6" s="4"/>
    </row>
    <row r="7" spans="2:3" x14ac:dyDescent="0.2">
      <c r="B7" s="3" t="s">
        <v>4</v>
      </c>
      <c r="C7" s="4"/>
    </row>
    <row r="8" spans="2:3" x14ac:dyDescent="0.2">
      <c r="B8" s="3" t="s">
        <v>5</v>
      </c>
      <c r="C8" s="4"/>
    </row>
    <row r="9" spans="2:3" x14ac:dyDescent="0.2">
      <c r="B9" s="3" t="s">
        <v>6</v>
      </c>
      <c r="C9" s="4"/>
    </row>
    <row r="10" spans="2:3" x14ac:dyDescent="0.2">
      <c r="B10" s="3" t="s">
        <v>7</v>
      </c>
      <c r="C10" s="4"/>
    </row>
    <row r="11" spans="2:3" x14ac:dyDescent="0.2">
      <c r="B11" s="3" t="s">
        <v>8</v>
      </c>
      <c r="C11" s="4"/>
    </row>
    <row r="13" spans="2:3" ht="16" x14ac:dyDescent="0.2">
      <c r="B13" s="5" t="s">
        <v>9</v>
      </c>
    </row>
    <row r="14" spans="2:3" x14ac:dyDescent="0.2">
      <c r="B14" s="6" t="s">
        <v>10</v>
      </c>
    </row>
    <row r="15" spans="2:3" x14ac:dyDescent="0.2">
      <c r="B15" s="6" t="s">
        <v>11</v>
      </c>
    </row>
    <row r="16" spans="2:3" x14ac:dyDescent="0.2">
      <c r="B16" s="6" t="s">
        <v>12</v>
      </c>
    </row>
    <row r="17" spans="2:2" x14ac:dyDescent="0.2">
      <c r="B17" s="6" t="s">
        <v>13</v>
      </c>
    </row>
    <row r="18" spans="2:2" x14ac:dyDescent="0.2">
      <c r="B18" s="6" t="s">
        <v>14</v>
      </c>
    </row>
    <row r="19" spans="2:2" x14ac:dyDescent="0.2">
      <c r="B19" s="6" t="s">
        <v>15</v>
      </c>
    </row>
    <row r="21" spans="2:2" x14ac:dyDescent="0.2">
      <c r="B21" s="7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4"/>
  <sheetViews>
    <sheetView showGridLines="0" zoomScale="125" zoomScaleNormal="100" workbookViewId="0"/>
  </sheetViews>
  <sheetFormatPr baseColWidth="10" defaultColWidth="8.6640625" defaultRowHeight="15" x14ac:dyDescent="0.2"/>
  <cols>
    <col min="1" max="1" width="2" customWidth="1"/>
    <col min="2" max="2" width="16" customWidth="1"/>
    <col min="3" max="3" width="12" customWidth="1"/>
    <col min="4" max="9" width="14" customWidth="1"/>
  </cols>
  <sheetData>
    <row r="2" spans="2:9" ht="20" x14ac:dyDescent="0.2">
      <c r="B2" s="1" t="s">
        <v>17</v>
      </c>
    </row>
    <row r="3" spans="2:9" x14ac:dyDescent="0.2">
      <c r="B3" s="2" t="s">
        <v>18</v>
      </c>
    </row>
    <row r="5" spans="2:9" ht="27.75" customHeight="1" x14ac:dyDescent="0.2"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</row>
    <row r="6" spans="2:9" x14ac:dyDescent="0.2">
      <c r="B6" s="9" t="s">
        <v>27</v>
      </c>
      <c r="C6" s="10"/>
      <c r="D6" s="10"/>
      <c r="E6" s="10"/>
      <c r="F6" s="10"/>
      <c r="G6" s="10"/>
      <c r="H6" s="10"/>
      <c r="I6" s="10"/>
    </row>
    <row r="7" spans="2:9" x14ac:dyDescent="0.2">
      <c r="B7" s="11" t="s">
        <v>28</v>
      </c>
      <c r="C7" s="10"/>
      <c r="D7" s="10"/>
      <c r="E7" s="10"/>
      <c r="F7" s="10"/>
      <c r="G7" s="10"/>
      <c r="H7" s="10"/>
      <c r="I7" s="10"/>
    </row>
    <row r="8" spans="2:9" x14ac:dyDescent="0.2">
      <c r="B8" s="11" t="s">
        <v>29</v>
      </c>
      <c r="C8" s="10"/>
      <c r="D8" s="10"/>
      <c r="E8" s="10"/>
      <c r="F8" s="10"/>
      <c r="G8" s="10"/>
      <c r="H8" s="10"/>
      <c r="I8" s="10"/>
    </row>
    <row r="9" spans="2:9" x14ac:dyDescent="0.2">
      <c r="B9" s="11" t="s">
        <v>30</v>
      </c>
      <c r="C9" s="10"/>
      <c r="D9" s="10"/>
      <c r="E9" s="10"/>
      <c r="F9" s="10"/>
      <c r="G9" s="10"/>
      <c r="H9" s="10"/>
      <c r="I9" s="10"/>
    </row>
    <row r="10" spans="2:9" x14ac:dyDescent="0.2">
      <c r="B10" s="11" t="s">
        <v>31</v>
      </c>
      <c r="C10" s="10"/>
      <c r="D10" s="10"/>
      <c r="E10" s="10"/>
      <c r="F10" s="10"/>
      <c r="G10" s="10"/>
      <c r="H10" s="10"/>
      <c r="I10" s="10"/>
    </row>
    <row r="11" spans="2:9" x14ac:dyDescent="0.2">
      <c r="B11" s="11" t="s">
        <v>32</v>
      </c>
      <c r="C11" s="10"/>
      <c r="D11" s="10"/>
      <c r="E11" s="10"/>
      <c r="F11" s="10"/>
      <c r="G11" s="10"/>
      <c r="H11" s="10"/>
      <c r="I11" s="10"/>
    </row>
    <row r="12" spans="2:9" x14ac:dyDescent="0.2">
      <c r="B12" s="11" t="s">
        <v>33</v>
      </c>
      <c r="C12" s="10"/>
      <c r="D12" s="10"/>
      <c r="E12" s="10"/>
      <c r="F12" s="10"/>
      <c r="G12" s="10"/>
      <c r="H12" s="10"/>
      <c r="I12" s="10"/>
    </row>
    <row r="13" spans="2:9" x14ac:dyDescent="0.2">
      <c r="B13" s="11" t="s">
        <v>34</v>
      </c>
      <c r="C13" s="10"/>
      <c r="D13" s="10"/>
      <c r="E13" s="10"/>
      <c r="F13" s="10"/>
      <c r="G13" s="10"/>
      <c r="H13" s="10"/>
      <c r="I13" s="10"/>
    </row>
    <row r="14" spans="2:9" x14ac:dyDescent="0.2">
      <c r="B14" s="11" t="s">
        <v>35</v>
      </c>
      <c r="C14" s="10"/>
      <c r="D14" s="10"/>
      <c r="E14" s="10"/>
      <c r="F14" s="10"/>
      <c r="G14" s="10"/>
      <c r="H14" s="10"/>
      <c r="I14" s="10"/>
    </row>
    <row r="15" spans="2:9" x14ac:dyDescent="0.2">
      <c r="B15" s="11" t="s">
        <v>36</v>
      </c>
      <c r="C15" s="10"/>
      <c r="D15" s="10"/>
      <c r="E15" s="10"/>
      <c r="F15" s="10"/>
      <c r="G15" s="10"/>
      <c r="H15" s="10"/>
      <c r="I15" s="10"/>
    </row>
    <row r="16" spans="2:9" x14ac:dyDescent="0.2">
      <c r="B16" s="11" t="s">
        <v>37</v>
      </c>
      <c r="C16" s="10"/>
      <c r="D16" s="10"/>
      <c r="E16" s="10"/>
      <c r="F16" s="10"/>
      <c r="G16" s="10"/>
      <c r="H16" s="10"/>
      <c r="I16" s="10"/>
    </row>
    <row r="17" spans="2:9" x14ac:dyDescent="0.2">
      <c r="B17" s="11" t="s">
        <v>38</v>
      </c>
      <c r="C17" s="10"/>
      <c r="D17" s="10"/>
      <c r="E17" s="10"/>
      <c r="F17" s="10"/>
      <c r="G17" s="10"/>
      <c r="H17" s="10"/>
      <c r="I17" s="10"/>
    </row>
    <row r="18" spans="2:9" x14ac:dyDescent="0.2">
      <c r="B18" s="11" t="s">
        <v>39</v>
      </c>
      <c r="C18" s="10"/>
      <c r="D18" s="10"/>
      <c r="E18" s="10"/>
      <c r="F18" s="10"/>
      <c r="G18" s="10"/>
      <c r="H18" s="10"/>
      <c r="I18" s="10"/>
    </row>
    <row r="20" spans="2:9" ht="16" x14ac:dyDescent="0.2">
      <c r="B20" s="5" t="s">
        <v>40</v>
      </c>
    </row>
    <row r="21" spans="2:9" ht="25.5" customHeight="1" x14ac:dyDescent="0.2">
      <c r="B21" s="8"/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</row>
    <row r="22" spans="2:9" x14ac:dyDescent="0.2">
      <c r="B22" s="12" t="s">
        <v>41</v>
      </c>
      <c r="C22" s="13" t="str">
        <f t="shared" ref="C22:H22" si="0">IFERROR(IF(COUNT(D6:D18)&lt;2,"",LOOKUP(9.99E+307,D6:D18)-D6),"")</f>
        <v/>
      </c>
      <c r="D22" s="13" t="str">
        <f t="shared" si="0"/>
        <v/>
      </c>
      <c r="E22" s="13" t="str">
        <f t="shared" si="0"/>
        <v/>
      </c>
      <c r="F22" s="13" t="str">
        <f t="shared" si="0"/>
        <v/>
      </c>
      <c r="G22" s="13" t="str">
        <f t="shared" si="0"/>
        <v/>
      </c>
      <c r="H22" s="13" t="str">
        <f t="shared" si="0"/>
        <v/>
      </c>
    </row>
    <row r="24" spans="2:9" x14ac:dyDescent="0.2">
      <c r="B24" s="2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2"/>
  <sheetViews>
    <sheetView showGridLines="0" topLeftCell="A2" zoomScale="150" zoomScaleNormal="100" workbookViewId="0">
      <selection activeCell="E11" sqref="E11"/>
    </sheetView>
  </sheetViews>
  <sheetFormatPr baseColWidth="10" defaultColWidth="8.6640625" defaultRowHeight="15" x14ac:dyDescent="0.2"/>
  <cols>
    <col min="1" max="1" width="2" customWidth="1"/>
    <col min="2" max="2" width="26" customWidth="1"/>
    <col min="3" max="5" width="20" customWidth="1"/>
    <col min="6" max="6" width="30" customWidth="1"/>
  </cols>
  <sheetData>
    <row r="2" spans="2:6" ht="20" x14ac:dyDescent="0.2">
      <c r="B2" s="1" t="s">
        <v>43</v>
      </c>
    </row>
    <row r="3" spans="2:6" x14ac:dyDescent="0.2">
      <c r="B3" s="2" t="s">
        <v>44</v>
      </c>
    </row>
    <row r="5" spans="2:6" ht="27.75" customHeight="1" x14ac:dyDescent="0.2">
      <c r="B5" s="8" t="s">
        <v>45</v>
      </c>
      <c r="C5" s="8" t="s">
        <v>46</v>
      </c>
      <c r="D5" s="8" t="s">
        <v>47</v>
      </c>
      <c r="E5" s="8" t="s">
        <v>127</v>
      </c>
      <c r="F5" s="8" t="s">
        <v>48</v>
      </c>
    </row>
    <row r="6" spans="2:6" x14ac:dyDescent="0.2">
      <c r="B6" s="12" t="s">
        <v>49</v>
      </c>
      <c r="C6" s="14"/>
      <c r="D6" s="14"/>
      <c r="E6" s="14"/>
      <c r="F6" s="14"/>
    </row>
    <row r="7" spans="2:6" x14ac:dyDescent="0.2">
      <c r="B7" s="12" t="s">
        <v>50</v>
      </c>
      <c r="C7" s="14"/>
      <c r="D7" s="14"/>
      <c r="E7" s="14"/>
      <c r="F7" s="14"/>
    </row>
    <row r="8" spans="2:6" x14ac:dyDescent="0.2">
      <c r="B8" s="12" t="s">
        <v>51</v>
      </c>
      <c r="C8" s="14"/>
      <c r="D8" s="14"/>
      <c r="E8" s="14"/>
      <c r="F8" s="14"/>
    </row>
    <row r="9" spans="2:6" x14ac:dyDescent="0.2">
      <c r="B9" s="12" t="s">
        <v>52</v>
      </c>
      <c r="C9" s="14"/>
      <c r="D9" s="14"/>
      <c r="E9" s="14"/>
      <c r="F9" s="14"/>
    </row>
    <row r="10" spans="2:6" x14ac:dyDescent="0.2">
      <c r="B10" s="12" t="s">
        <v>53</v>
      </c>
      <c r="C10" s="14"/>
      <c r="D10" s="14"/>
      <c r="E10" s="14"/>
      <c r="F10" s="14"/>
    </row>
    <row r="11" spans="2:6" x14ac:dyDescent="0.2">
      <c r="B11" s="12" t="s">
        <v>54</v>
      </c>
      <c r="C11" s="14"/>
      <c r="D11" s="14"/>
      <c r="E11" s="14"/>
      <c r="F11" s="14"/>
    </row>
    <row r="12" spans="2:6" x14ac:dyDescent="0.2">
      <c r="B12" s="12" t="s">
        <v>55</v>
      </c>
      <c r="C12" s="14"/>
      <c r="D12" s="14"/>
      <c r="E12" s="14"/>
      <c r="F12" s="14"/>
    </row>
    <row r="13" spans="2:6" x14ac:dyDescent="0.2">
      <c r="B13" s="12" t="s">
        <v>56</v>
      </c>
      <c r="C13" s="14"/>
      <c r="D13" s="14"/>
      <c r="E13" s="14"/>
      <c r="F13" s="14"/>
    </row>
    <row r="14" spans="2:6" x14ac:dyDescent="0.2">
      <c r="B14" s="12" t="s">
        <v>57</v>
      </c>
      <c r="C14" s="14"/>
      <c r="D14" s="14"/>
      <c r="E14" s="14"/>
      <c r="F14" s="14"/>
    </row>
    <row r="15" spans="2:6" x14ac:dyDescent="0.2">
      <c r="B15" s="12" t="s">
        <v>58</v>
      </c>
      <c r="C15" s="14"/>
      <c r="D15" s="14"/>
      <c r="E15" s="14"/>
      <c r="F15" s="14"/>
    </row>
    <row r="16" spans="2:6" x14ac:dyDescent="0.2">
      <c r="B16" s="12" t="s">
        <v>59</v>
      </c>
      <c r="C16" s="14"/>
      <c r="D16" s="14"/>
      <c r="E16" s="14"/>
      <c r="F16" s="14"/>
    </row>
    <row r="17" spans="2:6" x14ac:dyDescent="0.2">
      <c r="B17" s="12" t="s">
        <v>60</v>
      </c>
      <c r="C17" s="14"/>
      <c r="D17" s="14"/>
      <c r="E17" s="14"/>
      <c r="F17" s="14"/>
    </row>
    <row r="18" spans="2:6" x14ac:dyDescent="0.2">
      <c r="B18" s="12" t="s">
        <v>61</v>
      </c>
      <c r="C18" s="14"/>
      <c r="D18" s="14"/>
      <c r="E18" s="14"/>
      <c r="F18" s="14"/>
    </row>
    <row r="19" spans="2:6" x14ac:dyDescent="0.2">
      <c r="B19" s="12" t="s">
        <v>62</v>
      </c>
      <c r="C19" s="14"/>
      <c r="D19" s="14"/>
      <c r="E19" s="14"/>
      <c r="F19" s="14"/>
    </row>
    <row r="20" spans="2:6" x14ac:dyDescent="0.2">
      <c r="B20" s="12" t="s">
        <v>63</v>
      </c>
      <c r="C20" s="14"/>
      <c r="D20" s="14"/>
      <c r="E20" s="14"/>
      <c r="F20" s="14"/>
    </row>
    <row r="21" spans="2:6" x14ac:dyDescent="0.2">
      <c r="B21" s="4"/>
      <c r="C21" s="14"/>
      <c r="D21" s="14"/>
      <c r="E21" s="14"/>
      <c r="F21" s="14"/>
    </row>
    <row r="22" spans="2:6" x14ac:dyDescent="0.2">
      <c r="B22" s="4"/>
      <c r="C22" s="14"/>
      <c r="D22" s="14"/>
      <c r="E22" s="14"/>
      <c r="F22" s="14"/>
    </row>
    <row r="23" spans="2:6" x14ac:dyDescent="0.2">
      <c r="B23" s="4"/>
      <c r="C23" s="14"/>
      <c r="D23" s="14"/>
      <c r="E23" s="14"/>
      <c r="F23" s="14"/>
    </row>
    <row r="24" spans="2:6" x14ac:dyDescent="0.2">
      <c r="B24" s="4"/>
      <c r="C24" s="14"/>
      <c r="D24" s="14"/>
      <c r="E24" s="14"/>
      <c r="F24" s="14"/>
    </row>
    <row r="25" spans="2:6" x14ac:dyDescent="0.2">
      <c r="B25" s="4"/>
      <c r="C25" s="14"/>
      <c r="D25" s="14"/>
      <c r="E25" s="14"/>
      <c r="F25" s="14"/>
    </row>
    <row r="26" spans="2:6" x14ac:dyDescent="0.2">
      <c r="B26" s="4"/>
      <c r="C26" s="14"/>
      <c r="D26" s="14"/>
      <c r="E26" s="14"/>
      <c r="F26" s="14"/>
    </row>
    <row r="27" spans="2:6" x14ac:dyDescent="0.2">
      <c r="B27" s="4"/>
      <c r="C27" s="14"/>
      <c r="D27" s="14"/>
      <c r="E27" s="14"/>
      <c r="F27" s="14"/>
    </row>
    <row r="28" spans="2:6" x14ac:dyDescent="0.2">
      <c r="B28" s="4"/>
      <c r="C28" s="14"/>
      <c r="D28" s="14"/>
      <c r="E28" s="14"/>
      <c r="F28" s="14"/>
    </row>
    <row r="29" spans="2:6" x14ac:dyDescent="0.2">
      <c r="B29" s="4"/>
      <c r="C29" s="14"/>
      <c r="D29" s="14"/>
      <c r="E29" s="14"/>
      <c r="F29" s="14"/>
    </row>
    <row r="30" spans="2:6" x14ac:dyDescent="0.2">
      <c r="B30" s="4"/>
      <c r="C30" s="14"/>
      <c r="D30" s="14"/>
      <c r="E30" s="14"/>
      <c r="F30" s="14"/>
    </row>
    <row r="32" spans="2:6" x14ac:dyDescent="0.2">
      <c r="B32" s="2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9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11" customWidth="1"/>
    <col min="4" max="10" width="20" customWidth="1"/>
    <col min="11" max="11" width="13" customWidth="1"/>
    <col min="12" max="12" width="38" customWidth="1"/>
  </cols>
  <sheetData>
    <row r="2" spans="2:12" ht="20" x14ac:dyDescent="0.2">
      <c r="B2" s="1" t="s">
        <v>65</v>
      </c>
    </row>
    <row r="3" spans="2:12" x14ac:dyDescent="0.2">
      <c r="B3" s="2" t="s">
        <v>66</v>
      </c>
    </row>
    <row r="5" spans="2:12" ht="33.75" customHeight="1" x14ac:dyDescent="0.2">
      <c r="B5" s="8" t="s">
        <v>67</v>
      </c>
      <c r="C5" s="8" t="s">
        <v>20</v>
      </c>
      <c r="D5" s="8" t="s">
        <v>68</v>
      </c>
      <c r="E5" s="8" t="s">
        <v>69</v>
      </c>
      <c r="F5" s="8" t="s">
        <v>70</v>
      </c>
      <c r="G5" s="8" t="s">
        <v>71</v>
      </c>
      <c r="H5" s="8" t="s">
        <v>72</v>
      </c>
      <c r="I5" s="8" t="s">
        <v>73</v>
      </c>
      <c r="J5" s="8" t="s">
        <v>74</v>
      </c>
      <c r="K5" s="8" t="s">
        <v>75</v>
      </c>
      <c r="L5" s="8" t="s">
        <v>76</v>
      </c>
    </row>
    <row r="6" spans="2:12" x14ac:dyDescent="0.2">
      <c r="B6" s="15">
        <v>1</v>
      </c>
      <c r="C6" s="14"/>
      <c r="D6" s="14"/>
      <c r="E6" s="14"/>
      <c r="F6" s="14"/>
      <c r="G6" s="14"/>
      <c r="H6" s="14"/>
      <c r="I6" s="14"/>
      <c r="J6" s="14"/>
      <c r="K6" s="14"/>
      <c r="L6" s="10"/>
    </row>
    <row r="7" spans="2:12" x14ac:dyDescent="0.2">
      <c r="B7" s="15">
        <v>2</v>
      </c>
      <c r="C7" s="14"/>
      <c r="D7" s="14"/>
      <c r="E7" s="14"/>
      <c r="F7" s="14"/>
      <c r="G7" s="14"/>
      <c r="H7" s="14"/>
      <c r="I7" s="14"/>
      <c r="J7" s="14"/>
      <c r="K7" s="14"/>
      <c r="L7" s="10"/>
    </row>
    <row r="8" spans="2:12" x14ac:dyDescent="0.2">
      <c r="B8" s="15">
        <v>3</v>
      </c>
      <c r="C8" s="14"/>
      <c r="D8" s="14"/>
      <c r="E8" s="14"/>
      <c r="F8" s="14"/>
      <c r="G8" s="14"/>
      <c r="H8" s="14"/>
      <c r="I8" s="14"/>
      <c r="J8" s="14"/>
      <c r="K8" s="14"/>
      <c r="L8" s="10"/>
    </row>
    <row r="9" spans="2:12" x14ac:dyDescent="0.2">
      <c r="B9" s="15">
        <v>4</v>
      </c>
      <c r="C9" s="14"/>
      <c r="D9" s="14"/>
      <c r="E9" s="14"/>
      <c r="F9" s="14"/>
      <c r="G9" s="14"/>
      <c r="H9" s="14"/>
      <c r="I9" s="14"/>
      <c r="J9" s="14"/>
      <c r="K9" s="14"/>
      <c r="L9" s="10"/>
    </row>
    <row r="10" spans="2:12" x14ac:dyDescent="0.2">
      <c r="B10" s="15">
        <v>5</v>
      </c>
      <c r="C10" s="14"/>
      <c r="D10" s="14"/>
      <c r="E10" s="14"/>
      <c r="F10" s="14"/>
      <c r="G10" s="14"/>
      <c r="H10" s="14"/>
      <c r="I10" s="14"/>
      <c r="J10" s="14"/>
      <c r="K10" s="14"/>
      <c r="L10" s="10"/>
    </row>
    <row r="11" spans="2:12" x14ac:dyDescent="0.2">
      <c r="B11" s="15">
        <v>6</v>
      </c>
      <c r="C11" s="14"/>
      <c r="D11" s="14"/>
      <c r="E11" s="14"/>
      <c r="F11" s="14"/>
      <c r="G11" s="14"/>
      <c r="H11" s="14"/>
      <c r="I11" s="14"/>
      <c r="J11" s="14"/>
      <c r="K11" s="14"/>
      <c r="L11" s="10"/>
    </row>
    <row r="12" spans="2:12" x14ac:dyDescent="0.2">
      <c r="B12" s="15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0"/>
    </row>
    <row r="13" spans="2:12" x14ac:dyDescent="0.2">
      <c r="B13" s="16">
        <v>8</v>
      </c>
      <c r="C13" s="14"/>
      <c r="D13" s="14"/>
      <c r="E13" s="14"/>
      <c r="F13" s="14"/>
      <c r="G13" s="14"/>
      <c r="H13" s="14"/>
      <c r="I13" s="14"/>
      <c r="J13" s="14"/>
      <c r="K13" s="14"/>
      <c r="L13" s="10"/>
    </row>
    <row r="14" spans="2:12" x14ac:dyDescent="0.2">
      <c r="B14" s="16">
        <v>9</v>
      </c>
      <c r="C14" s="14"/>
      <c r="D14" s="14"/>
      <c r="E14" s="14"/>
      <c r="F14" s="14"/>
      <c r="G14" s="14"/>
      <c r="H14" s="14"/>
      <c r="I14" s="14"/>
      <c r="J14" s="14"/>
      <c r="K14" s="14"/>
      <c r="L14" s="10"/>
    </row>
    <row r="15" spans="2:12" x14ac:dyDescent="0.2">
      <c r="B15" s="16">
        <v>10</v>
      </c>
      <c r="C15" s="14"/>
      <c r="D15" s="14"/>
      <c r="E15" s="14"/>
      <c r="F15" s="14"/>
      <c r="G15" s="14"/>
      <c r="H15" s="14"/>
      <c r="I15" s="14"/>
      <c r="J15" s="14"/>
      <c r="K15" s="14"/>
      <c r="L15" s="10"/>
    </row>
    <row r="16" spans="2:12" x14ac:dyDescent="0.2">
      <c r="B16" s="16">
        <v>11</v>
      </c>
      <c r="C16" s="14"/>
      <c r="D16" s="14"/>
      <c r="E16" s="14"/>
      <c r="F16" s="14"/>
      <c r="G16" s="14"/>
      <c r="H16" s="14"/>
      <c r="I16" s="14"/>
      <c r="J16" s="14"/>
      <c r="K16" s="14"/>
      <c r="L16" s="10"/>
    </row>
    <row r="17" spans="2:12" x14ac:dyDescent="0.2">
      <c r="B17" s="16">
        <v>12</v>
      </c>
      <c r="C17" s="14"/>
      <c r="D17" s="14"/>
      <c r="E17" s="14"/>
      <c r="F17" s="14"/>
      <c r="G17" s="14"/>
      <c r="H17" s="14"/>
      <c r="I17" s="14"/>
      <c r="J17" s="14"/>
      <c r="K17" s="14"/>
      <c r="L17" s="10"/>
    </row>
    <row r="18" spans="2:12" x14ac:dyDescent="0.2">
      <c r="B18" s="16">
        <v>13</v>
      </c>
      <c r="C18" s="14"/>
      <c r="D18" s="14"/>
      <c r="E18" s="14"/>
      <c r="F18" s="14"/>
      <c r="G18" s="14"/>
      <c r="H18" s="14"/>
      <c r="I18" s="14"/>
      <c r="J18" s="14"/>
      <c r="K18" s="14"/>
      <c r="L18" s="10"/>
    </row>
    <row r="19" spans="2:12" x14ac:dyDescent="0.2">
      <c r="B19" s="16">
        <v>14</v>
      </c>
      <c r="C19" s="14"/>
      <c r="D19" s="14"/>
      <c r="E19" s="14"/>
      <c r="F19" s="14"/>
      <c r="G19" s="14"/>
      <c r="H19" s="14"/>
      <c r="I19" s="14"/>
      <c r="J19" s="14"/>
      <c r="K19" s="14"/>
      <c r="L19" s="10"/>
    </row>
    <row r="20" spans="2:12" x14ac:dyDescent="0.2">
      <c r="B20" s="15">
        <v>15</v>
      </c>
      <c r="C20" s="14"/>
      <c r="D20" s="14"/>
      <c r="E20" s="14"/>
      <c r="F20" s="14"/>
      <c r="G20" s="14"/>
      <c r="H20" s="14"/>
      <c r="I20" s="14"/>
      <c r="J20" s="14"/>
      <c r="K20" s="14"/>
      <c r="L20" s="10"/>
    </row>
    <row r="21" spans="2:12" x14ac:dyDescent="0.2">
      <c r="B21" s="15">
        <v>16</v>
      </c>
      <c r="C21" s="14"/>
      <c r="D21" s="14"/>
      <c r="E21" s="14"/>
      <c r="F21" s="14"/>
      <c r="G21" s="14"/>
      <c r="H21" s="14"/>
      <c r="I21" s="14"/>
      <c r="J21" s="14"/>
      <c r="K21" s="14"/>
      <c r="L21" s="10"/>
    </row>
    <row r="22" spans="2:12" x14ac:dyDescent="0.2">
      <c r="B22" s="15">
        <v>17</v>
      </c>
      <c r="C22" s="14"/>
      <c r="D22" s="14"/>
      <c r="E22" s="14"/>
      <c r="F22" s="14"/>
      <c r="G22" s="14"/>
      <c r="H22" s="14"/>
      <c r="I22" s="14"/>
      <c r="J22" s="14"/>
      <c r="K22" s="14"/>
      <c r="L22" s="10"/>
    </row>
    <row r="23" spans="2:12" x14ac:dyDescent="0.2">
      <c r="B23" s="15">
        <v>18</v>
      </c>
      <c r="C23" s="14"/>
      <c r="D23" s="14"/>
      <c r="E23" s="14"/>
      <c r="F23" s="14"/>
      <c r="G23" s="14"/>
      <c r="H23" s="14"/>
      <c r="I23" s="14"/>
      <c r="J23" s="14"/>
      <c r="K23" s="14"/>
      <c r="L23" s="10"/>
    </row>
    <row r="24" spans="2:12" x14ac:dyDescent="0.2">
      <c r="B24" s="15">
        <v>19</v>
      </c>
      <c r="C24" s="14"/>
      <c r="D24" s="14"/>
      <c r="E24" s="14"/>
      <c r="F24" s="14"/>
      <c r="G24" s="14"/>
      <c r="H24" s="14"/>
      <c r="I24" s="14"/>
      <c r="J24" s="14"/>
      <c r="K24" s="14"/>
      <c r="L24" s="10"/>
    </row>
    <row r="25" spans="2:12" x14ac:dyDescent="0.2">
      <c r="B25" s="15">
        <v>20</v>
      </c>
      <c r="C25" s="14"/>
      <c r="D25" s="14"/>
      <c r="E25" s="14"/>
      <c r="F25" s="14"/>
      <c r="G25" s="14"/>
      <c r="H25" s="14"/>
      <c r="I25" s="14"/>
      <c r="J25" s="14"/>
      <c r="K25" s="14"/>
      <c r="L25" s="10"/>
    </row>
    <row r="26" spans="2:12" x14ac:dyDescent="0.2">
      <c r="B26" s="15">
        <v>21</v>
      </c>
      <c r="C26" s="14"/>
      <c r="D26" s="14"/>
      <c r="E26" s="14"/>
      <c r="F26" s="14"/>
      <c r="G26" s="14"/>
      <c r="H26" s="14"/>
      <c r="I26" s="14"/>
      <c r="J26" s="14"/>
      <c r="K26" s="14"/>
      <c r="L26" s="10"/>
    </row>
    <row r="27" spans="2:12" x14ac:dyDescent="0.2">
      <c r="B27" s="16">
        <v>22</v>
      </c>
      <c r="C27" s="14"/>
      <c r="D27" s="14"/>
      <c r="E27" s="14"/>
      <c r="F27" s="14"/>
      <c r="G27" s="14"/>
      <c r="H27" s="14"/>
      <c r="I27" s="14"/>
      <c r="J27" s="14"/>
      <c r="K27" s="14"/>
      <c r="L27" s="10"/>
    </row>
    <row r="28" spans="2:12" x14ac:dyDescent="0.2">
      <c r="B28" s="16">
        <v>23</v>
      </c>
      <c r="C28" s="14"/>
      <c r="D28" s="14"/>
      <c r="E28" s="14"/>
      <c r="F28" s="14"/>
      <c r="G28" s="14"/>
      <c r="H28" s="14"/>
      <c r="I28" s="14"/>
      <c r="J28" s="14"/>
      <c r="K28" s="14"/>
      <c r="L28" s="10"/>
    </row>
    <row r="29" spans="2:12" x14ac:dyDescent="0.2">
      <c r="B29" s="16">
        <v>24</v>
      </c>
      <c r="C29" s="14"/>
      <c r="D29" s="14"/>
      <c r="E29" s="14"/>
      <c r="F29" s="14"/>
      <c r="G29" s="14"/>
      <c r="H29" s="14"/>
      <c r="I29" s="14"/>
      <c r="J29" s="14"/>
      <c r="K29" s="14"/>
      <c r="L29" s="10"/>
    </row>
    <row r="30" spans="2:12" x14ac:dyDescent="0.2">
      <c r="B30" s="16">
        <v>25</v>
      </c>
      <c r="C30" s="14"/>
      <c r="D30" s="14"/>
      <c r="E30" s="14"/>
      <c r="F30" s="14"/>
      <c r="G30" s="14"/>
      <c r="H30" s="14"/>
      <c r="I30" s="14"/>
      <c r="J30" s="14"/>
      <c r="K30" s="14"/>
      <c r="L30" s="10"/>
    </row>
    <row r="31" spans="2:12" x14ac:dyDescent="0.2">
      <c r="B31" s="16">
        <v>26</v>
      </c>
      <c r="C31" s="14"/>
      <c r="D31" s="14"/>
      <c r="E31" s="14"/>
      <c r="F31" s="14"/>
      <c r="G31" s="14"/>
      <c r="H31" s="14"/>
      <c r="I31" s="14"/>
      <c r="J31" s="14"/>
      <c r="K31" s="14"/>
      <c r="L31" s="10"/>
    </row>
    <row r="32" spans="2:12" x14ac:dyDescent="0.2">
      <c r="B32" s="16">
        <v>27</v>
      </c>
      <c r="C32" s="14"/>
      <c r="D32" s="14"/>
      <c r="E32" s="14"/>
      <c r="F32" s="14"/>
      <c r="G32" s="14"/>
      <c r="H32" s="14"/>
      <c r="I32" s="14"/>
      <c r="J32" s="14"/>
      <c r="K32" s="14"/>
      <c r="L32" s="10"/>
    </row>
    <row r="33" spans="2:12" x14ac:dyDescent="0.2">
      <c r="B33" s="16">
        <v>28</v>
      </c>
      <c r="C33" s="14"/>
      <c r="D33" s="14"/>
      <c r="E33" s="14"/>
      <c r="F33" s="14"/>
      <c r="G33" s="14"/>
      <c r="H33" s="14"/>
      <c r="I33" s="14"/>
      <c r="J33" s="14"/>
      <c r="K33" s="14"/>
      <c r="L33" s="10"/>
    </row>
    <row r="34" spans="2:12" x14ac:dyDescent="0.2">
      <c r="B34" s="15">
        <v>29</v>
      </c>
      <c r="C34" s="14"/>
      <c r="D34" s="14"/>
      <c r="E34" s="14"/>
      <c r="F34" s="14"/>
      <c r="G34" s="14"/>
      <c r="H34" s="14"/>
      <c r="I34" s="14"/>
      <c r="J34" s="14"/>
      <c r="K34" s="14"/>
      <c r="L34" s="10"/>
    </row>
    <row r="35" spans="2:12" x14ac:dyDescent="0.2">
      <c r="B35" s="15">
        <v>30</v>
      </c>
      <c r="C35" s="14"/>
      <c r="D35" s="14"/>
      <c r="E35" s="14"/>
      <c r="F35" s="14"/>
      <c r="G35" s="14"/>
      <c r="H35" s="14"/>
      <c r="I35" s="14"/>
      <c r="J35" s="14"/>
      <c r="K35" s="14"/>
      <c r="L35" s="10"/>
    </row>
    <row r="36" spans="2:12" x14ac:dyDescent="0.2">
      <c r="B36" s="15">
        <v>31</v>
      </c>
      <c r="C36" s="14"/>
      <c r="D36" s="14"/>
      <c r="E36" s="14"/>
      <c r="F36" s="14"/>
      <c r="G36" s="14"/>
      <c r="H36" s="14"/>
      <c r="I36" s="14"/>
      <c r="J36" s="14"/>
      <c r="K36" s="14"/>
      <c r="L36" s="10"/>
    </row>
    <row r="37" spans="2:12" x14ac:dyDescent="0.2">
      <c r="B37" s="15">
        <v>32</v>
      </c>
      <c r="C37" s="14"/>
      <c r="D37" s="14"/>
      <c r="E37" s="14"/>
      <c r="F37" s="14"/>
      <c r="G37" s="14"/>
      <c r="H37" s="14"/>
      <c r="I37" s="14"/>
      <c r="J37" s="14"/>
      <c r="K37" s="14"/>
      <c r="L37" s="10"/>
    </row>
    <row r="38" spans="2:12" x14ac:dyDescent="0.2">
      <c r="B38" s="15">
        <v>33</v>
      </c>
      <c r="C38" s="14"/>
      <c r="D38" s="14"/>
      <c r="E38" s="14"/>
      <c r="F38" s="14"/>
      <c r="G38" s="14"/>
      <c r="H38" s="14"/>
      <c r="I38" s="14"/>
      <c r="J38" s="14"/>
      <c r="K38" s="14"/>
      <c r="L38" s="10"/>
    </row>
    <row r="39" spans="2:12" x14ac:dyDescent="0.2">
      <c r="B39" s="15">
        <v>34</v>
      </c>
      <c r="C39" s="14"/>
      <c r="D39" s="14"/>
      <c r="E39" s="14"/>
      <c r="F39" s="14"/>
      <c r="G39" s="14"/>
      <c r="H39" s="14"/>
      <c r="I39" s="14"/>
      <c r="J39" s="14"/>
      <c r="K39" s="14"/>
      <c r="L39" s="10"/>
    </row>
    <row r="40" spans="2:12" x14ac:dyDescent="0.2">
      <c r="B40" s="15">
        <v>35</v>
      </c>
      <c r="C40" s="14"/>
      <c r="D40" s="14"/>
      <c r="E40" s="14"/>
      <c r="F40" s="14"/>
      <c r="G40" s="14"/>
      <c r="H40" s="14"/>
      <c r="I40" s="14"/>
      <c r="J40" s="14"/>
      <c r="K40" s="14"/>
      <c r="L40" s="10"/>
    </row>
    <row r="41" spans="2:12" x14ac:dyDescent="0.2">
      <c r="B41" s="16">
        <v>36</v>
      </c>
      <c r="C41" s="14"/>
      <c r="D41" s="14"/>
      <c r="E41" s="14"/>
      <c r="F41" s="14"/>
      <c r="G41" s="14"/>
      <c r="H41" s="14"/>
      <c r="I41" s="14"/>
      <c r="J41" s="14"/>
      <c r="K41" s="14"/>
      <c r="L41" s="10"/>
    </row>
    <row r="42" spans="2:12" x14ac:dyDescent="0.2">
      <c r="B42" s="16">
        <v>37</v>
      </c>
      <c r="C42" s="14"/>
      <c r="D42" s="14"/>
      <c r="E42" s="14"/>
      <c r="F42" s="14"/>
      <c r="G42" s="14"/>
      <c r="H42" s="14"/>
      <c r="I42" s="14"/>
      <c r="J42" s="14"/>
      <c r="K42" s="14"/>
      <c r="L42" s="10"/>
    </row>
    <row r="43" spans="2:12" x14ac:dyDescent="0.2">
      <c r="B43" s="16">
        <v>38</v>
      </c>
      <c r="C43" s="14"/>
      <c r="D43" s="14"/>
      <c r="E43" s="14"/>
      <c r="F43" s="14"/>
      <c r="G43" s="14"/>
      <c r="H43" s="14"/>
      <c r="I43" s="14"/>
      <c r="J43" s="14"/>
      <c r="K43" s="14"/>
      <c r="L43" s="10"/>
    </row>
    <row r="44" spans="2:12" x14ac:dyDescent="0.2">
      <c r="B44" s="16">
        <v>39</v>
      </c>
      <c r="C44" s="14"/>
      <c r="D44" s="14"/>
      <c r="E44" s="14"/>
      <c r="F44" s="14"/>
      <c r="G44" s="14"/>
      <c r="H44" s="14"/>
      <c r="I44" s="14"/>
      <c r="J44" s="14"/>
      <c r="K44" s="14"/>
      <c r="L44" s="10"/>
    </row>
    <row r="45" spans="2:12" x14ac:dyDescent="0.2">
      <c r="B45" s="16">
        <v>40</v>
      </c>
      <c r="C45" s="14"/>
      <c r="D45" s="14"/>
      <c r="E45" s="14"/>
      <c r="F45" s="14"/>
      <c r="G45" s="14"/>
      <c r="H45" s="14"/>
      <c r="I45" s="14"/>
      <c r="J45" s="14"/>
      <c r="K45" s="14"/>
      <c r="L45" s="10"/>
    </row>
    <row r="46" spans="2:12" x14ac:dyDescent="0.2">
      <c r="B46" s="16">
        <v>41</v>
      </c>
      <c r="C46" s="14"/>
      <c r="D46" s="14"/>
      <c r="E46" s="14"/>
      <c r="F46" s="14"/>
      <c r="G46" s="14"/>
      <c r="H46" s="14"/>
      <c r="I46" s="14"/>
      <c r="J46" s="14"/>
      <c r="K46" s="14"/>
      <c r="L46" s="10"/>
    </row>
    <row r="47" spans="2:12" x14ac:dyDescent="0.2">
      <c r="B47" s="16">
        <v>42</v>
      </c>
      <c r="C47" s="14"/>
      <c r="D47" s="14"/>
      <c r="E47" s="14"/>
      <c r="F47" s="14"/>
      <c r="G47" s="14"/>
      <c r="H47" s="14"/>
      <c r="I47" s="14"/>
      <c r="J47" s="14"/>
      <c r="K47" s="14"/>
      <c r="L47" s="10"/>
    </row>
    <row r="48" spans="2:12" x14ac:dyDescent="0.2">
      <c r="B48" s="15">
        <v>43</v>
      </c>
      <c r="C48" s="14"/>
      <c r="D48" s="14"/>
      <c r="E48" s="14"/>
      <c r="F48" s="14"/>
      <c r="G48" s="14"/>
      <c r="H48" s="14"/>
      <c r="I48" s="14"/>
      <c r="J48" s="14"/>
      <c r="K48" s="14"/>
      <c r="L48" s="10"/>
    </row>
    <row r="49" spans="2:12" x14ac:dyDescent="0.2">
      <c r="B49" s="15">
        <v>44</v>
      </c>
      <c r="C49" s="14"/>
      <c r="D49" s="14"/>
      <c r="E49" s="14"/>
      <c r="F49" s="14"/>
      <c r="G49" s="14"/>
      <c r="H49" s="14"/>
      <c r="I49" s="14"/>
      <c r="J49" s="14"/>
      <c r="K49" s="14"/>
      <c r="L49" s="10"/>
    </row>
    <row r="50" spans="2:12" x14ac:dyDescent="0.2">
      <c r="B50" s="15">
        <v>45</v>
      </c>
      <c r="C50" s="14"/>
      <c r="D50" s="14"/>
      <c r="E50" s="14"/>
      <c r="F50" s="14"/>
      <c r="G50" s="14"/>
      <c r="H50" s="14"/>
      <c r="I50" s="14"/>
      <c r="J50" s="14"/>
      <c r="K50" s="14"/>
      <c r="L50" s="10"/>
    </row>
    <row r="51" spans="2:12" x14ac:dyDescent="0.2">
      <c r="B51" s="15">
        <v>46</v>
      </c>
      <c r="C51" s="14"/>
      <c r="D51" s="14"/>
      <c r="E51" s="14"/>
      <c r="F51" s="14"/>
      <c r="G51" s="14"/>
      <c r="H51" s="14"/>
      <c r="I51" s="14"/>
      <c r="J51" s="14"/>
      <c r="K51" s="14"/>
      <c r="L51" s="10"/>
    </row>
    <row r="52" spans="2:12" x14ac:dyDescent="0.2">
      <c r="B52" s="15">
        <v>47</v>
      </c>
      <c r="C52" s="14"/>
      <c r="D52" s="14"/>
      <c r="E52" s="14"/>
      <c r="F52" s="14"/>
      <c r="G52" s="14"/>
      <c r="H52" s="14"/>
      <c r="I52" s="14"/>
      <c r="J52" s="14"/>
      <c r="K52" s="14"/>
      <c r="L52" s="10"/>
    </row>
    <row r="53" spans="2:12" x14ac:dyDescent="0.2">
      <c r="B53" s="15">
        <v>48</v>
      </c>
      <c r="C53" s="14"/>
      <c r="D53" s="14"/>
      <c r="E53" s="14"/>
      <c r="F53" s="14"/>
      <c r="G53" s="14"/>
      <c r="H53" s="14"/>
      <c r="I53" s="14"/>
      <c r="J53" s="14"/>
      <c r="K53" s="14"/>
      <c r="L53" s="10"/>
    </row>
    <row r="54" spans="2:12" x14ac:dyDescent="0.2">
      <c r="B54" s="15">
        <v>49</v>
      </c>
      <c r="C54" s="14"/>
      <c r="D54" s="14"/>
      <c r="E54" s="14"/>
      <c r="F54" s="14"/>
      <c r="G54" s="14"/>
      <c r="H54" s="14"/>
      <c r="I54" s="14"/>
      <c r="J54" s="14"/>
      <c r="K54" s="14"/>
      <c r="L54" s="10"/>
    </row>
    <row r="55" spans="2:12" x14ac:dyDescent="0.2">
      <c r="B55" s="16">
        <v>50</v>
      </c>
      <c r="C55" s="14"/>
      <c r="D55" s="14"/>
      <c r="E55" s="14"/>
      <c r="F55" s="14"/>
      <c r="G55" s="14"/>
      <c r="H55" s="14"/>
      <c r="I55" s="14"/>
      <c r="J55" s="14"/>
      <c r="K55" s="14"/>
      <c r="L55" s="10"/>
    </row>
    <row r="56" spans="2:12" x14ac:dyDescent="0.2">
      <c r="B56" s="16">
        <v>51</v>
      </c>
      <c r="C56" s="14"/>
      <c r="D56" s="14"/>
      <c r="E56" s="14"/>
      <c r="F56" s="14"/>
      <c r="G56" s="14"/>
      <c r="H56" s="14"/>
      <c r="I56" s="14"/>
      <c r="J56" s="14"/>
      <c r="K56" s="14"/>
      <c r="L56" s="10"/>
    </row>
    <row r="57" spans="2:12" x14ac:dyDescent="0.2">
      <c r="B57" s="16">
        <v>52</v>
      </c>
      <c r="C57" s="14"/>
      <c r="D57" s="14"/>
      <c r="E57" s="14"/>
      <c r="F57" s="14"/>
      <c r="G57" s="14"/>
      <c r="H57" s="14"/>
      <c r="I57" s="14"/>
      <c r="J57" s="14"/>
      <c r="K57" s="14"/>
      <c r="L57" s="10"/>
    </row>
    <row r="58" spans="2:12" x14ac:dyDescent="0.2">
      <c r="B58" s="16">
        <v>53</v>
      </c>
      <c r="C58" s="14"/>
      <c r="D58" s="14"/>
      <c r="E58" s="14"/>
      <c r="F58" s="14"/>
      <c r="G58" s="14"/>
      <c r="H58" s="14"/>
      <c r="I58" s="14"/>
      <c r="J58" s="14"/>
      <c r="K58" s="14"/>
      <c r="L58" s="10"/>
    </row>
    <row r="59" spans="2:12" x14ac:dyDescent="0.2">
      <c r="B59" s="16">
        <v>54</v>
      </c>
      <c r="C59" s="14"/>
      <c r="D59" s="14"/>
      <c r="E59" s="14"/>
      <c r="F59" s="14"/>
      <c r="G59" s="14"/>
      <c r="H59" s="14"/>
      <c r="I59" s="14"/>
      <c r="J59" s="14"/>
      <c r="K59" s="14"/>
      <c r="L59" s="10"/>
    </row>
    <row r="60" spans="2:12" x14ac:dyDescent="0.2">
      <c r="B60" s="16">
        <v>55</v>
      </c>
      <c r="C60" s="14"/>
      <c r="D60" s="14"/>
      <c r="E60" s="14"/>
      <c r="F60" s="14"/>
      <c r="G60" s="14"/>
      <c r="H60" s="14"/>
      <c r="I60" s="14"/>
      <c r="J60" s="14"/>
      <c r="K60" s="14"/>
      <c r="L60" s="10"/>
    </row>
    <row r="61" spans="2:12" x14ac:dyDescent="0.2">
      <c r="B61" s="16">
        <v>56</v>
      </c>
      <c r="C61" s="14"/>
      <c r="D61" s="14"/>
      <c r="E61" s="14"/>
      <c r="F61" s="14"/>
      <c r="G61" s="14"/>
      <c r="H61" s="14"/>
      <c r="I61" s="14"/>
      <c r="J61" s="14"/>
      <c r="K61" s="14"/>
      <c r="L61" s="10"/>
    </row>
    <row r="62" spans="2:12" x14ac:dyDescent="0.2">
      <c r="B62" s="15">
        <v>57</v>
      </c>
      <c r="C62" s="14"/>
      <c r="D62" s="14"/>
      <c r="E62" s="14"/>
      <c r="F62" s="14"/>
      <c r="G62" s="14"/>
      <c r="H62" s="14"/>
      <c r="I62" s="14"/>
      <c r="J62" s="14"/>
      <c r="K62" s="14"/>
      <c r="L62" s="10"/>
    </row>
    <row r="63" spans="2:12" x14ac:dyDescent="0.2">
      <c r="B63" s="15">
        <v>58</v>
      </c>
      <c r="C63" s="14"/>
      <c r="D63" s="14"/>
      <c r="E63" s="14"/>
      <c r="F63" s="14"/>
      <c r="G63" s="14"/>
      <c r="H63" s="14"/>
      <c r="I63" s="14"/>
      <c r="J63" s="14"/>
      <c r="K63" s="14"/>
      <c r="L63" s="10"/>
    </row>
    <row r="64" spans="2:12" x14ac:dyDescent="0.2">
      <c r="B64" s="15">
        <v>59</v>
      </c>
      <c r="C64" s="14"/>
      <c r="D64" s="14"/>
      <c r="E64" s="14"/>
      <c r="F64" s="14"/>
      <c r="G64" s="14"/>
      <c r="H64" s="14"/>
      <c r="I64" s="14"/>
      <c r="J64" s="14"/>
      <c r="K64" s="14"/>
      <c r="L64" s="10"/>
    </row>
    <row r="65" spans="2:12" x14ac:dyDescent="0.2">
      <c r="B65" s="15">
        <v>60</v>
      </c>
      <c r="C65" s="14"/>
      <c r="D65" s="14"/>
      <c r="E65" s="14"/>
      <c r="F65" s="14"/>
      <c r="G65" s="14"/>
      <c r="H65" s="14"/>
      <c r="I65" s="14"/>
      <c r="J65" s="14"/>
      <c r="K65" s="14"/>
      <c r="L65" s="10"/>
    </row>
    <row r="66" spans="2:12" x14ac:dyDescent="0.2">
      <c r="B66" s="15">
        <v>61</v>
      </c>
      <c r="C66" s="14"/>
      <c r="D66" s="14"/>
      <c r="E66" s="14"/>
      <c r="F66" s="14"/>
      <c r="G66" s="14"/>
      <c r="H66" s="14"/>
      <c r="I66" s="14"/>
      <c r="J66" s="14"/>
      <c r="K66" s="14"/>
      <c r="L66" s="10"/>
    </row>
    <row r="67" spans="2:12" x14ac:dyDescent="0.2">
      <c r="B67" s="15">
        <v>62</v>
      </c>
      <c r="C67" s="14"/>
      <c r="D67" s="14"/>
      <c r="E67" s="14"/>
      <c r="F67" s="14"/>
      <c r="G67" s="14"/>
      <c r="H67" s="14"/>
      <c r="I67" s="14"/>
      <c r="J67" s="14"/>
      <c r="K67" s="14"/>
      <c r="L67" s="10"/>
    </row>
    <row r="68" spans="2:12" x14ac:dyDescent="0.2">
      <c r="B68" s="15">
        <v>63</v>
      </c>
      <c r="C68" s="14"/>
      <c r="D68" s="14"/>
      <c r="E68" s="14"/>
      <c r="F68" s="14"/>
      <c r="G68" s="14"/>
      <c r="H68" s="14"/>
      <c r="I68" s="14"/>
      <c r="J68" s="14"/>
      <c r="K68" s="14"/>
      <c r="L68" s="10"/>
    </row>
    <row r="69" spans="2:12" x14ac:dyDescent="0.2">
      <c r="B69" s="16">
        <v>64</v>
      </c>
      <c r="C69" s="14"/>
      <c r="D69" s="14"/>
      <c r="E69" s="14"/>
      <c r="F69" s="14"/>
      <c r="G69" s="14"/>
      <c r="H69" s="14"/>
      <c r="I69" s="14"/>
      <c r="J69" s="14"/>
      <c r="K69" s="14"/>
      <c r="L69" s="10"/>
    </row>
    <row r="70" spans="2:12" x14ac:dyDescent="0.2">
      <c r="B70" s="16">
        <v>65</v>
      </c>
      <c r="C70" s="14"/>
      <c r="D70" s="14"/>
      <c r="E70" s="14"/>
      <c r="F70" s="14"/>
      <c r="G70" s="14"/>
      <c r="H70" s="14"/>
      <c r="I70" s="14"/>
      <c r="J70" s="14"/>
      <c r="K70" s="14"/>
      <c r="L70" s="10"/>
    </row>
    <row r="71" spans="2:12" x14ac:dyDescent="0.2">
      <c r="B71" s="16">
        <v>66</v>
      </c>
      <c r="C71" s="14"/>
      <c r="D71" s="14"/>
      <c r="E71" s="14"/>
      <c r="F71" s="14"/>
      <c r="G71" s="14"/>
      <c r="H71" s="14"/>
      <c r="I71" s="14"/>
      <c r="J71" s="14"/>
      <c r="K71" s="14"/>
      <c r="L71" s="10"/>
    </row>
    <row r="72" spans="2:12" x14ac:dyDescent="0.2">
      <c r="B72" s="16">
        <v>67</v>
      </c>
      <c r="C72" s="14"/>
      <c r="D72" s="14"/>
      <c r="E72" s="14"/>
      <c r="F72" s="14"/>
      <c r="G72" s="14"/>
      <c r="H72" s="14"/>
      <c r="I72" s="14"/>
      <c r="J72" s="14"/>
      <c r="K72" s="14"/>
      <c r="L72" s="10"/>
    </row>
    <row r="73" spans="2:12" x14ac:dyDescent="0.2">
      <c r="B73" s="16">
        <v>68</v>
      </c>
      <c r="C73" s="14"/>
      <c r="D73" s="14"/>
      <c r="E73" s="14"/>
      <c r="F73" s="14"/>
      <c r="G73" s="14"/>
      <c r="H73" s="14"/>
      <c r="I73" s="14"/>
      <c r="J73" s="14"/>
      <c r="K73" s="14"/>
      <c r="L73" s="10"/>
    </row>
    <row r="74" spans="2:12" x14ac:dyDescent="0.2">
      <c r="B74" s="16">
        <v>69</v>
      </c>
      <c r="C74" s="14"/>
      <c r="D74" s="14"/>
      <c r="E74" s="14"/>
      <c r="F74" s="14"/>
      <c r="G74" s="14"/>
      <c r="H74" s="14"/>
      <c r="I74" s="14"/>
      <c r="J74" s="14"/>
      <c r="K74" s="14"/>
      <c r="L74" s="10"/>
    </row>
    <row r="75" spans="2:12" x14ac:dyDescent="0.2">
      <c r="B75" s="16">
        <v>70</v>
      </c>
      <c r="C75" s="14"/>
      <c r="D75" s="14"/>
      <c r="E75" s="14"/>
      <c r="F75" s="14"/>
      <c r="G75" s="14"/>
      <c r="H75" s="14"/>
      <c r="I75" s="14"/>
      <c r="J75" s="14"/>
      <c r="K75" s="14"/>
      <c r="L75" s="10"/>
    </row>
    <row r="76" spans="2:12" x14ac:dyDescent="0.2">
      <c r="B76" s="15">
        <v>71</v>
      </c>
      <c r="C76" s="14"/>
      <c r="D76" s="14"/>
      <c r="E76" s="14"/>
      <c r="F76" s="14"/>
      <c r="G76" s="14"/>
      <c r="H76" s="14"/>
      <c r="I76" s="14"/>
      <c r="J76" s="14"/>
      <c r="K76" s="14"/>
      <c r="L76" s="10"/>
    </row>
    <row r="77" spans="2:12" x14ac:dyDescent="0.2">
      <c r="B77" s="15">
        <v>72</v>
      </c>
      <c r="C77" s="14"/>
      <c r="D77" s="14"/>
      <c r="E77" s="14"/>
      <c r="F77" s="14"/>
      <c r="G77" s="14"/>
      <c r="H77" s="14"/>
      <c r="I77" s="14"/>
      <c r="J77" s="14"/>
      <c r="K77" s="14"/>
      <c r="L77" s="10"/>
    </row>
    <row r="78" spans="2:12" x14ac:dyDescent="0.2">
      <c r="B78" s="15">
        <v>73</v>
      </c>
      <c r="C78" s="14"/>
      <c r="D78" s="14"/>
      <c r="E78" s="14"/>
      <c r="F78" s="14"/>
      <c r="G78" s="14"/>
      <c r="H78" s="14"/>
      <c r="I78" s="14"/>
      <c r="J78" s="14"/>
      <c r="K78" s="14"/>
      <c r="L78" s="10"/>
    </row>
    <row r="79" spans="2:12" x14ac:dyDescent="0.2">
      <c r="B79" s="15">
        <v>74</v>
      </c>
      <c r="C79" s="14"/>
      <c r="D79" s="14"/>
      <c r="E79" s="14"/>
      <c r="F79" s="14"/>
      <c r="G79" s="14"/>
      <c r="H79" s="14"/>
      <c r="I79" s="14"/>
      <c r="J79" s="14"/>
      <c r="K79" s="14"/>
      <c r="L79" s="10"/>
    </row>
    <row r="80" spans="2:12" x14ac:dyDescent="0.2">
      <c r="B80" s="15">
        <v>75</v>
      </c>
      <c r="C80" s="14"/>
      <c r="D80" s="14"/>
      <c r="E80" s="14"/>
      <c r="F80" s="14"/>
      <c r="G80" s="14"/>
      <c r="H80" s="14"/>
      <c r="I80" s="14"/>
      <c r="J80" s="14"/>
      <c r="K80" s="14"/>
      <c r="L80" s="10"/>
    </row>
    <row r="81" spans="2:12" x14ac:dyDescent="0.2">
      <c r="B81" s="15">
        <v>76</v>
      </c>
      <c r="C81" s="14"/>
      <c r="D81" s="14"/>
      <c r="E81" s="14"/>
      <c r="F81" s="14"/>
      <c r="G81" s="14"/>
      <c r="H81" s="14"/>
      <c r="I81" s="14"/>
      <c r="J81" s="14"/>
      <c r="K81" s="14"/>
      <c r="L81" s="10"/>
    </row>
    <row r="82" spans="2:12" x14ac:dyDescent="0.2">
      <c r="B82" s="15">
        <v>77</v>
      </c>
      <c r="C82" s="14"/>
      <c r="D82" s="14"/>
      <c r="E82" s="14"/>
      <c r="F82" s="14"/>
      <c r="G82" s="14"/>
      <c r="H82" s="14"/>
      <c r="I82" s="14"/>
      <c r="J82" s="14"/>
      <c r="K82" s="14"/>
      <c r="L82" s="10"/>
    </row>
    <row r="83" spans="2:12" x14ac:dyDescent="0.2">
      <c r="B83" s="16">
        <v>78</v>
      </c>
      <c r="C83" s="14"/>
      <c r="D83" s="14"/>
      <c r="E83" s="14"/>
      <c r="F83" s="14"/>
      <c r="G83" s="14"/>
      <c r="H83" s="14"/>
      <c r="I83" s="14"/>
      <c r="J83" s="14"/>
      <c r="K83" s="14"/>
      <c r="L83" s="10"/>
    </row>
    <row r="84" spans="2:12" x14ac:dyDescent="0.2">
      <c r="B84" s="16">
        <v>79</v>
      </c>
      <c r="C84" s="14"/>
      <c r="D84" s="14"/>
      <c r="E84" s="14"/>
      <c r="F84" s="14"/>
      <c r="G84" s="14"/>
      <c r="H84" s="14"/>
      <c r="I84" s="14"/>
      <c r="J84" s="14"/>
      <c r="K84" s="14"/>
      <c r="L84" s="10"/>
    </row>
    <row r="85" spans="2:12" x14ac:dyDescent="0.2">
      <c r="B85" s="16">
        <v>80</v>
      </c>
      <c r="C85" s="14"/>
      <c r="D85" s="14"/>
      <c r="E85" s="14"/>
      <c r="F85" s="14"/>
      <c r="G85" s="14"/>
      <c r="H85" s="14"/>
      <c r="I85" s="14"/>
      <c r="J85" s="14"/>
      <c r="K85" s="14"/>
      <c r="L85" s="10"/>
    </row>
    <row r="86" spans="2:12" x14ac:dyDescent="0.2">
      <c r="B86" s="16">
        <v>81</v>
      </c>
      <c r="C86" s="14"/>
      <c r="D86" s="14"/>
      <c r="E86" s="14"/>
      <c r="F86" s="14"/>
      <c r="G86" s="14"/>
      <c r="H86" s="14"/>
      <c r="I86" s="14"/>
      <c r="J86" s="14"/>
      <c r="K86" s="14"/>
      <c r="L86" s="10"/>
    </row>
    <row r="87" spans="2:12" x14ac:dyDescent="0.2">
      <c r="B87" s="16">
        <v>82</v>
      </c>
      <c r="C87" s="14"/>
      <c r="D87" s="14"/>
      <c r="E87" s="14"/>
      <c r="F87" s="14"/>
      <c r="G87" s="14"/>
      <c r="H87" s="14"/>
      <c r="I87" s="14"/>
      <c r="J87" s="14"/>
      <c r="K87" s="14"/>
      <c r="L87" s="10"/>
    </row>
    <row r="88" spans="2:12" x14ac:dyDescent="0.2">
      <c r="B88" s="16">
        <v>83</v>
      </c>
      <c r="C88" s="14"/>
      <c r="D88" s="14"/>
      <c r="E88" s="14"/>
      <c r="F88" s="14"/>
      <c r="G88" s="14"/>
      <c r="H88" s="14"/>
      <c r="I88" s="14"/>
      <c r="J88" s="14"/>
      <c r="K88" s="14"/>
      <c r="L88" s="10"/>
    </row>
    <row r="89" spans="2:12" x14ac:dyDescent="0.2">
      <c r="B89" s="16">
        <v>84</v>
      </c>
      <c r="C89" s="14"/>
      <c r="D89" s="14"/>
      <c r="E89" s="14"/>
      <c r="F89" s="14"/>
      <c r="G89" s="14"/>
      <c r="H89" s="14"/>
      <c r="I89" s="14"/>
      <c r="J89" s="14"/>
      <c r="K89" s="14"/>
      <c r="L89" s="10"/>
    </row>
    <row r="90" spans="2:12" x14ac:dyDescent="0.2">
      <c r="B90" s="15">
        <v>85</v>
      </c>
      <c r="C90" s="14"/>
      <c r="D90" s="14"/>
      <c r="E90" s="14"/>
      <c r="F90" s="14"/>
      <c r="G90" s="14"/>
      <c r="H90" s="14"/>
      <c r="I90" s="14"/>
      <c r="J90" s="14"/>
      <c r="K90" s="14"/>
      <c r="L90" s="10"/>
    </row>
    <row r="91" spans="2:12" x14ac:dyDescent="0.2">
      <c r="B91" s="15">
        <v>86</v>
      </c>
      <c r="C91" s="14"/>
      <c r="D91" s="14"/>
      <c r="E91" s="14"/>
      <c r="F91" s="14"/>
      <c r="G91" s="14"/>
      <c r="H91" s="14"/>
      <c r="I91" s="14"/>
      <c r="J91" s="14"/>
      <c r="K91" s="14"/>
      <c r="L91" s="10"/>
    </row>
    <row r="92" spans="2:12" x14ac:dyDescent="0.2">
      <c r="B92" s="15">
        <v>87</v>
      </c>
      <c r="C92" s="14"/>
      <c r="D92" s="14"/>
      <c r="E92" s="14"/>
      <c r="F92" s="14"/>
      <c r="G92" s="14"/>
      <c r="H92" s="14"/>
      <c r="I92" s="14"/>
      <c r="J92" s="14"/>
      <c r="K92" s="14"/>
      <c r="L92" s="10"/>
    </row>
    <row r="93" spans="2:12" x14ac:dyDescent="0.2">
      <c r="B93" s="15">
        <v>88</v>
      </c>
      <c r="C93" s="14"/>
      <c r="D93" s="14"/>
      <c r="E93" s="14"/>
      <c r="F93" s="14"/>
      <c r="G93" s="14"/>
      <c r="H93" s="14"/>
      <c r="I93" s="14"/>
      <c r="J93" s="14"/>
      <c r="K93" s="14"/>
      <c r="L93" s="10"/>
    </row>
    <row r="94" spans="2:12" x14ac:dyDescent="0.2">
      <c r="B94" s="15">
        <v>89</v>
      </c>
      <c r="C94" s="14"/>
      <c r="D94" s="14"/>
      <c r="E94" s="14"/>
      <c r="F94" s="14"/>
      <c r="G94" s="14"/>
      <c r="H94" s="14"/>
      <c r="I94" s="14"/>
      <c r="J94" s="14"/>
      <c r="K94" s="14"/>
      <c r="L94" s="10"/>
    </row>
    <row r="95" spans="2:12" x14ac:dyDescent="0.2">
      <c r="B95" s="15">
        <v>90</v>
      </c>
      <c r="C95" s="14"/>
      <c r="D95" s="14"/>
      <c r="E95" s="14"/>
      <c r="F95" s="14"/>
      <c r="G95" s="14"/>
      <c r="H95" s="14"/>
      <c r="I95" s="14"/>
      <c r="J95" s="14"/>
      <c r="K95" s="14"/>
      <c r="L95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99"/>
  <sheetViews>
    <sheetView showGridLines="0" zoomScale="132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11" customWidth="1"/>
    <col min="4" max="4" width="10" customWidth="1"/>
    <col min="5" max="5" width="24" customWidth="1"/>
    <col min="6" max="6" width="8" customWidth="1"/>
    <col min="7" max="7" width="24" customWidth="1"/>
    <col min="8" max="8" width="8" customWidth="1"/>
    <col min="9" max="9" width="28" customWidth="1"/>
    <col min="10" max="10" width="8" customWidth="1"/>
    <col min="11" max="11" width="13" customWidth="1"/>
    <col min="12" max="12" width="26" customWidth="1"/>
  </cols>
  <sheetData>
    <row r="2" spans="2:12" ht="20" x14ac:dyDescent="0.2">
      <c r="B2" s="1" t="s">
        <v>77</v>
      </c>
    </row>
    <row r="3" spans="2:12" x14ac:dyDescent="0.2">
      <c r="B3" s="2" t="s">
        <v>78</v>
      </c>
    </row>
    <row r="5" spans="2:12" ht="16" x14ac:dyDescent="0.2">
      <c r="B5" s="5" t="s">
        <v>79</v>
      </c>
    </row>
    <row r="6" spans="2:12" x14ac:dyDescent="0.2">
      <c r="B6" s="6" t="s">
        <v>80</v>
      </c>
      <c r="D6" s="9">
        <f>COUNT(D10:D99)</f>
        <v>0</v>
      </c>
    </row>
    <row r="7" spans="2:12" x14ac:dyDescent="0.2">
      <c r="B7" s="6" t="s">
        <v>81</v>
      </c>
      <c r="D7" s="9" t="str">
        <f>IFERROR(ROUND(AVERAGE(D10:D99),0),"")</f>
        <v/>
      </c>
    </row>
    <row r="8" spans="2:12" x14ac:dyDescent="0.2">
      <c r="B8" s="6" t="s">
        <v>82</v>
      </c>
      <c r="D8" s="9" t="str">
        <f>IFERROR(ROUND(AVERAGE(J10:J99),0),"")</f>
        <v/>
      </c>
    </row>
    <row r="9" spans="2:12" ht="36" customHeight="1" x14ac:dyDescent="0.2">
      <c r="B9" s="8" t="s">
        <v>67</v>
      </c>
      <c r="C9" s="8" t="s">
        <v>20</v>
      </c>
      <c r="D9" s="8" t="s">
        <v>83</v>
      </c>
      <c r="E9" s="8" t="s">
        <v>84</v>
      </c>
      <c r="F9" s="8" t="s">
        <v>85</v>
      </c>
      <c r="G9" s="8" t="s">
        <v>86</v>
      </c>
      <c r="H9" s="8" t="s">
        <v>85</v>
      </c>
      <c r="I9" s="8" t="s">
        <v>87</v>
      </c>
      <c r="J9" s="8" t="s">
        <v>85</v>
      </c>
      <c r="K9" s="8" t="s">
        <v>88</v>
      </c>
      <c r="L9" s="8" t="s">
        <v>89</v>
      </c>
    </row>
    <row r="10" spans="2:12" x14ac:dyDescent="0.2">
      <c r="B10" s="15">
        <v>1</v>
      </c>
      <c r="C10" s="10"/>
      <c r="D10" s="10"/>
      <c r="E10" s="14"/>
      <c r="F10" s="10"/>
      <c r="G10" s="14"/>
      <c r="H10" s="10"/>
      <c r="I10" s="14"/>
      <c r="J10" s="10"/>
      <c r="K10" s="9" t="str">
        <f t="shared" ref="K10:K41" si="0">IFERROR(IF(COUNT(F10,H10,J10)=0,"",SUM(F10,H10,J10)),"")</f>
        <v/>
      </c>
      <c r="L10" s="14"/>
    </row>
    <row r="11" spans="2:12" x14ac:dyDescent="0.2">
      <c r="B11" s="15">
        <v>2</v>
      </c>
      <c r="C11" s="10"/>
      <c r="D11" s="10"/>
      <c r="E11" s="14"/>
      <c r="F11" s="10"/>
      <c r="G11" s="14"/>
      <c r="H11" s="10"/>
      <c r="I11" s="14"/>
      <c r="J11" s="10"/>
      <c r="K11" s="9" t="str">
        <f t="shared" si="0"/>
        <v/>
      </c>
      <c r="L11" s="14"/>
    </row>
    <row r="12" spans="2:12" x14ac:dyDescent="0.2">
      <c r="B12" s="15">
        <v>3</v>
      </c>
      <c r="C12" s="10"/>
      <c r="D12" s="10"/>
      <c r="E12" s="14"/>
      <c r="F12" s="10"/>
      <c r="G12" s="14"/>
      <c r="H12" s="10"/>
      <c r="I12" s="14"/>
      <c r="J12" s="10"/>
      <c r="K12" s="9" t="str">
        <f t="shared" si="0"/>
        <v/>
      </c>
      <c r="L12" s="14"/>
    </row>
    <row r="13" spans="2:12" x14ac:dyDescent="0.2">
      <c r="B13" s="15">
        <v>4</v>
      </c>
      <c r="C13" s="10"/>
      <c r="D13" s="10"/>
      <c r="E13" s="14"/>
      <c r="F13" s="10"/>
      <c r="G13" s="14"/>
      <c r="H13" s="10"/>
      <c r="I13" s="14"/>
      <c r="J13" s="10"/>
      <c r="K13" s="9" t="str">
        <f t="shared" si="0"/>
        <v/>
      </c>
      <c r="L13" s="14"/>
    </row>
    <row r="14" spans="2:12" x14ac:dyDescent="0.2">
      <c r="B14" s="15">
        <v>5</v>
      </c>
      <c r="C14" s="10"/>
      <c r="D14" s="10"/>
      <c r="E14" s="14"/>
      <c r="F14" s="10"/>
      <c r="G14" s="14"/>
      <c r="H14" s="10"/>
      <c r="I14" s="14"/>
      <c r="J14" s="10"/>
      <c r="K14" s="9" t="str">
        <f t="shared" si="0"/>
        <v/>
      </c>
      <c r="L14" s="14"/>
    </row>
    <row r="15" spans="2:12" x14ac:dyDescent="0.2">
      <c r="B15" s="15">
        <v>6</v>
      </c>
      <c r="C15" s="10"/>
      <c r="D15" s="10"/>
      <c r="E15" s="14"/>
      <c r="F15" s="10"/>
      <c r="G15" s="14"/>
      <c r="H15" s="10"/>
      <c r="I15" s="14"/>
      <c r="J15" s="10"/>
      <c r="K15" s="9" t="str">
        <f t="shared" si="0"/>
        <v/>
      </c>
      <c r="L15" s="14"/>
    </row>
    <row r="16" spans="2:12" x14ac:dyDescent="0.2">
      <c r="B16" s="15">
        <v>7</v>
      </c>
      <c r="C16" s="10"/>
      <c r="D16" s="10"/>
      <c r="E16" s="14"/>
      <c r="F16" s="10"/>
      <c r="G16" s="14"/>
      <c r="H16" s="10"/>
      <c r="I16" s="14"/>
      <c r="J16" s="10"/>
      <c r="K16" s="9" t="str">
        <f t="shared" si="0"/>
        <v/>
      </c>
      <c r="L16" s="14"/>
    </row>
    <row r="17" spans="2:12" x14ac:dyDescent="0.2">
      <c r="B17" s="16">
        <v>8</v>
      </c>
      <c r="C17" s="10"/>
      <c r="D17" s="10"/>
      <c r="E17" s="14"/>
      <c r="F17" s="10"/>
      <c r="G17" s="14"/>
      <c r="H17" s="10"/>
      <c r="I17" s="14"/>
      <c r="J17" s="10"/>
      <c r="K17" s="9" t="str">
        <f t="shared" si="0"/>
        <v/>
      </c>
      <c r="L17" s="14"/>
    </row>
    <row r="18" spans="2:12" x14ac:dyDescent="0.2">
      <c r="B18" s="16">
        <v>9</v>
      </c>
      <c r="C18" s="10"/>
      <c r="D18" s="10"/>
      <c r="E18" s="14"/>
      <c r="F18" s="10"/>
      <c r="G18" s="14"/>
      <c r="H18" s="10"/>
      <c r="I18" s="14"/>
      <c r="J18" s="10"/>
      <c r="K18" s="9" t="str">
        <f t="shared" si="0"/>
        <v/>
      </c>
      <c r="L18" s="14"/>
    </row>
    <row r="19" spans="2:12" x14ac:dyDescent="0.2">
      <c r="B19" s="16">
        <v>10</v>
      </c>
      <c r="C19" s="10"/>
      <c r="D19" s="10"/>
      <c r="E19" s="14"/>
      <c r="F19" s="10"/>
      <c r="G19" s="14"/>
      <c r="H19" s="10"/>
      <c r="I19" s="14"/>
      <c r="J19" s="10"/>
      <c r="K19" s="9" t="str">
        <f t="shared" si="0"/>
        <v/>
      </c>
      <c r="L19" s="14"/>
    </row>
    <row r="20" spans="2:12" x14ac:dyDescent="0.2">
      <c r="B20" s="16">
        <v>11</v>
      </c>
      <c r="C20" s="10"/>
      <c r="D20" s="10"/>
      <c r="E20" s="14"/>
      <c r="F20" s="10"/>
      <c r="G20" s="14"/>
      <c r="H20" s="10"/>
      <c r="I20" s="14"/>
      <c r="J20" s="10"/>
      <c r="K20" s="9" t="str">
        <f t="shared" si="0"/>
        <v/>
      </c>
      <c r="L20" s="14"/>
    </row>
    <row r="21" spans="2:12" x14ac:dyDescent="0.2">
      <c r="B21" s="16">
        <v>12</v>
      </c>
      <c r="C21" s="10"/>
      <c r="D21" s="10"/>
      <c r="E21" s="14"/>
      <c r="F21" s="10"/>
      <c r="G21" s="14"/>
      <c r="H21" s="10"/>
      <c r="I21" s="14"/>
      <c r="J21" s="10"/>
      <c r="K21" s="9" t="str">
        <f t="shared" si="0"/>
        <v/>
      </c>
      <c r="L21" s="14"/>
    </row>
    <row r="22" spans="2:12" x14ac:dyDescent="0.2">
      <c r="B22" s="16">
        <v>13</v>
      </c>
      <c r="C22" s="10"/>
      <c r="D22" s="10"/>
      <c r="E22" s="14"/>
      <c r="F22" s="10"/>
      <c r="G22" s="14"/>
      <c r="H22" s="10"/>
      <c r="I22" s="14"/>
      <c r="J22" s="10"/>
      <c r="K22" s="9" t="str">
        <f t="shared" si="0"/>
        <v/>
      </c>
      <c r="L22" s="14"/>
    </row>
    <row r="23" spans="2:12" x14ac:dyDescent="0.2">
      <c r="B23" s="16">
        <v>14</v>
      </c>
      <c r="C23" s="10"/>
      <c r="D23" s="10"/>
      <c r="E23" s="14"/>
      <c r="F23" s="10"/>
      <c r="G23" s="14"/>
      <c r="H23" s="10"/>
      <c r="I23" s="14"/>
      <c r="J23" s="10"/>
      <c r="K23" s="9" t="str">
        <f t="shared" si="0"/>
        <v/>
      </c>
      <c r="L23" s="14"/>
    </row>
    <row r="24" spans="2:12" x14ac:dyDescent="0.2">
      <c r="B24" s="15">
        <v>15</v>
      </c>
      <c r="C24" s="10"/>
      <c r="D24" s="10"/>
      <c r="E24" s="14"/>
      <c r="F24" s="10"/>
      <c r="G24" s="14"/>
      <c r="H24" s="10"/>
      <c r="I24" s="14"/>
      <c r="J24" s="10"/>
      <c r="K24" s="9" t="str">
        <f t="shared" si="0"/>
        <v/>
      </c>
      <c r="L24" s="14"/>
    </row>
    <row r="25" spans="2:12" x14ac:dyDescent="0.2">
      <c r="B25" s="15">
        <v>16</v>
      </c>
      <c r="C25" s="10"/>
      <c r="D25" s="10"/>
      <c r="E25" s="14"/>
      <c r="F25" s="10"/>
      <c r="G25" s="14"/>
      <c r="H25" s="10"/>
      <c r="I25" s="14"/>
      <c r="J25" s="10"/>
      <c r="K25" s="9" t="str">
        <f t="shared" si="0"/>
        <v/>
      </c>
      <c r="L25" s="14"/>
    </row>
    <row r="26" spans="2:12" x14ac:dyDescent="0.2">
      <c r="B26" s="15">
        <v>17</v>
      </c>
      <c r="C26" s="10"/>
      <c r="D26" s="10"/>
      <c r="E26" s="14"/>
      <c r="F26" s="10"/>
      <c r="G26" s="14"/>
      <c r="H26" s="10"/>
      <c r="I26" s="14"/>
      <c r="J26" s="10"/>
      <c r="K26" s="9" t="str">
        <f t="shared" si="0"/>
        <v/>
      </c>
      <c r="L26" s="14"/>
    </row>
    <row r="27" spans="2:12" x14ac:dyDescent="0.2">
      <c r="B27" s="15">
        <v>18</v>
      </c>
      <c r="C27" s="10"/>
      <c r="D27" s="10"/>
      <c r="E27" s="14"/>
      <c r="F27" s="10"/>
      <c r="G27" s="14"/>
      <c r="H27" s="10"/>
      <c r="I27" s="14"/>
      <c r="J27" s="10"/>
      <c r="K27" s="9" t="str">
        <f t="shared" si="0"/>
        <v/>
      </c>
      <c r="L27" s="14"/>
    </row>
    <row r="28" spans="2:12" x14ac:dyDescent="0.2">
      <c r="B28" s="15">
        <v>19</v>
      </c>
      <c r="C28" s="10"/>
      <c r="D28" s="10"/>
      <c r="E28" s="14"/>
      <c r="F28" s="10"/>
      <c r="G28" s="14"/>
      <c r="H28" s="10"/>
      <c r="I28" s="14"/>
      <c r="J28" s="10"/>
      <c r="K28" s="9" t="str">
        <f t="shared" si="0"/>
        <v/>
      </c>
      <c r="L28" s="14"/>
    </row>
    <row r="29" spans="2:12" x14ac:dyDescent="0.2">
      <c r="B29" s="15">
        <v>20</v>
      </c>
      <c r="C29" s="10"/>
      <c r="D29" s="10"/>
      <c r="E29" s="14"/>
      <c r="F29" s="10"/>
      <c r="G29" s="14"/>
      <c r="H29" s="10"/>
      <c r="I29" s="14"/>
      <c r="J29" s="10"/>
      <c r="K29" s="9" t="str">
        <f t="shared" si="0"/>
        <v/>
      </c>
      <c r="L29" s="14"/>
    </row>
    <row r="30" spans="2:12" x14ac:dyDescent="0.2">
      <c r="B30" s="15">
        <v>21</v>
      </c>
      <c r="C30" s="10"/>
      <c r="D30" s="10"/>
      <c r="E30" s="14"/>
      <c r="F30" s="10"/>
      <c r="G30" s="14"/>
      <c r="H30" s="10"/>
      <c r="I30" s="14"/>
      <c r="J30" s="10"/>
      <c r="K30" s="9" t="str">
        <f t="shared" si="0"/>
        <v/>
      </c>
      <c r="L30" s="14"/>
    </row>
    <row r="31" spans="2:12" x14ac:dyDescent="0.2">
      <c r="B31" s="16">
        <v>22</v>
      </c>
      <c r="C31" s="10"/>
      <c r="D31" s="10"/>
      <c r="E31" s="14"/>
      <c r="F31" s="10"/>
      <c r="G31" s="14"/>
      <c r="H31" s="10"/>
      <c r="I31" s="14"/>
      <c r="J31" s="10"/>
      <c r="K31" s="9" t="str">
        <f t="shared" si="0"/>
        <v/>
      </c>
      <c r="L31" s="14"/>
    </row>
    <row r="32" spans="2:12" x14ac:dyDescent="0.2">
      <c r="B32" s="16">
        <v>23</v>
      </c>
      <c r="C32" s="10"/>
      <c r="D32" s="10"/>
      <c r="E32" s="14"/>
      <c r="F32" s="10"/>
      <c r="G32" s="14"/>
      <c r="H32" s="10"/>
      <c r="I32" s="14"/>
      <c r="J32" s="10"/>
      <c r="K32" s="9" t="str">
        <f t="shared" si="0"/>
        <v/>
      </c>
      <c r="L32" s="14"/>
    </row>
    <row r="33" spans="2:12" x14ac:dyDescent="0.2">
      <c r="B33" s="16">
        <v>24</v>
      </c>
      <c r="C33" s="10"/>
      <c r="D33" s="10"/>
      <c r="E33" s="14"/>
      <c r="F33" s="10"/>
      <c r="G33" s="14"/>
      <c r="H33" s="10"/>
      <c r="I33" s="14"/>
      <c r="J33" s="10"/>
      <c r="K33" s="9" t="str">
        <f t="shared" si="0"/>
        <v/>
      </c>
      <c r="L33" s="14"/>
    </row>
    <row r="34" spans="2:12" x14ac:dyDescent="0.2">
      <c r="B34" s="16">
        <v>25</v>
      </c>
      <c r="C34" s="10"/>
      <c r="D34" s="10"/>
      <c r="E34" s="14"/>
      <c r="F34" s="10"/>
      <c r="G34" s="14"/>
      <c r="H34" s="10"/>
      <c r="I34" s="14"/>
      <c r="J34" s="10"/>
      <c r="K34" s="9" t="str">
        <f t="shared" si="0"/>
        <v/>
      </c>
      <c r="L34" s="14"/>
    </row>
    <row r="35" spans="2:12" x14ac:dyDescent="0.2">
      <c r="B35" s="16">
        <v>26</v>
      </c>
      <c r="C35" s="10"/>
      <c r="D35" s="10"/>
      <c r="E35" s="14"/>
      <c r="F35" s="10"/>
      <c r="G35" s="14"/>
      <c r="H35" s="10"/>
      <c r="I35" s="14"/>
      <c r="J35" s="10"/>
      <c r="K35" s="9" t="str">
        <f t="shared" si="0"/>
        <v/>
      </c>
      <c r="L35" s="14"/>
    </row>
    <row r="36" spans="2:12" x14ac:dyDescent="0.2">
      <c r="B36" s="16">
        <v>27</v>
      </c>
      <c r="C36" s="10"/>
      <c r="D36" s="10"/>
      <c r="E36" s="14"/>
      <c r="F36" s="10"/>
      <c r="G36" s="14"/>
      <c r="H36" s="10"/>
      <c r="I36" s="14"/>
      <c r="J36" s="10"/>
      <c r="K36" s="9" t="str">
        <f t="shared" si="0"/>
        <v/>
      </c>
      <c r="L36" s="14"/>
    </row>
    <row r="37" spans="2:12" x14ac:dyDescent="0.2">
      <c r="B37" s="16">
        <v>28</v>
      </c>
      <c r="C37" s="10"/>
      <c r="D37" s="10"/>
      <c r="E37" s="14"/>
      <c r="F37" s="10"/>
      <c r="G37" s="14"/>
      <c r="H37" s="10"/>
      <c r="I37" s="14"/>
      <c r="J37" s="10"/>
      <c r="K37" s="9" t="str">
        <f t="shared" si="0"/>
        <v/>
      </c>
      <c r="L37" s="14"/>
    </row>
    <row r="38" spans="2:12" x14ac:dyDescent="0.2">
      <c r="B38" s="15">
        <v>29</v>
      </c>
      <c r="C38" s="10"/>
      <c r="D38" s="10"/>
      <c r="E38" s="14"/>
      <c r="F38" s="10"/>
      <c r="G38" s="14"/>
      <c r="H38" s="10"/>
      <c r="I38" s="14"/>
      <c r="J38" s="10"/>
      <c r="K38" s="9" t="str">
        <f t="shared" si="0"/>
        <v/>
      </c>
      <c r="L38" s="14"/>
    </row>
    <row r="39" spans="2:12" x14ac:dyDescent="0.2">
      <c r="B39" s="15">
        <v>30</v>
      </c>
      <c r="C39" s="10"/>
      <c r="D39" s="10"/>
      <c r="E39" s="14"/>
      <c r="F39" s="10"/>
      <c r="G39" s="14"/>
      <c r="H39" s="10"/>
      <c r="I39" s="14"/>
      <c r="J39" s="10"/>
      <c r="K39" s="9" t="str">
        <f t="shared" si="0"/>
        <v/>
      </c>
      <c r="L39" s="14"/>
    </row>
    <row r="40" spans="2:12" x14ac:dyDescent="0.2">
      <c r="B40" s="15">
        <v>31</v>
      </c>
      <c r="C40" s="10"/>
      <c r="D40" s="10"/>
      <c r="E40" s="14"/>
      <c r="F40" s="10"/>
      <c r="G40" s="14"/>
      <c r="H40" s="10"/>
      <c r="I40" s="14"/>
      <c r="J40" s="10"/>
      <c r="K40" s="9" t="str">
        <f t="shared" si="0"/>
        <v/>
      </c>
      <c r="L40" s="14"/>
    </row>
    <row r="41" spans="2:12" x14ac:dyDescent="0.2">
      <c r="B41" s="15">
        <v>32</v>
      </c>
      <c r="C41" s="10"/>
      <c r="D41" s="10"/>
      <c r="E41" s="14"/>
      <c r="F41" s="10"/>
      <c r="G41" s="14"/>
      <c r="H41" s="10"/>
      <c r="I41" s="14"/>
      <c r="J41" s="10"/>
      <c r="K41" s="9" t="str">
        <f t="shared" si="0"/>
        <v/>
      </c>
      <c r="L41" s="14"/>
    </row>
    <row r="42" spans="2:12" x14ac:dyDescent="0.2">
      <c r="B42" s="15">
        <v>33</v>
      </c>
      <c r="C42" s="10"/>
      <c r="D42" s="10"/>
      <c r="E42" s="14"/>
      <c r="F42" s="10"/>
      <c r="G42" s="14"/>
      <c r="H42" s="10"/>
      <c r="I42" s="14"/>
      <c r="J42" s="10"/>
      <c r="K42" s="9" t="str">
        <f t="shared" ref="K42:K73" si="1">IFERROR(IF(COUNT(F42,H42,J42)=0,"",SUM(F42,H42,J42)),"")</f>
        <v/>
      </c>
      <c r="L42" s="14"/>
    </row>
    <row r="43" spans="2:12" x14ac:dyDescent="0.2">
      <c r="B43" s="15">
        <v>34</v>
      </c>
      <c r="C43" s="10"/>
      <c r="D43" s="10"/>
      <c r="E43" s="14"/>
      <c r="F43" s="10"/>
      <c r="G43" s="14"/>
      <c r="H43" s="10"/>
      <c r="I43" s="14"/>
      <c r="J43" s="10"/>
      <c r="K43" s="9" t="str">
        <f t="shared" si="1"/>
        <v/>
      </c>
      <c r="L43" s="14"/>
    </row>
    <row r="44" spans="2:12" x14ac:dyDescent="0.2">
      <c r="B44" s="15">
        <v>35</v>
      </c>
      <c r="C44" s="10"/>
      <c r="D44" s="10"/>
      <c r="E44" s="14"/>
      <c r="F44" s="10"/>
      <c r="G44" s="14"/>
      <c r="H44" s="10"/>
      <c r="I44" s="14"/>
      <c r="J44" s="10"/>
      <c r="K44" s="9" t="str">
        <f t="shared" si="1"/>
        <v/>
      </c>
      <c r="L44" s="14"/>
    </row>
    <row r="45" spans="2:12" x14ac:dyDescent="0.2">
      <c r="B45" s="16">
        <v>36</v>
      </c>
      <c r="C45" s="10"/>
      <c r="D45" s="10"/>
      <c r="E45" s="14"/>
      <c r="F45" s="10"/>
      <c r="G45" s="14"/>
      <c r="H45" s="10"/>
      <c r="I45" s="14"/>
      <c r="J45" s="10"/>
      <c r="K45" s="9" t="str">
        <f t="shared" si="1"/>
        <v/>
      </c>
      <c r="L45" s="14"/>
    </row>
    <row r="46" spans="2:12" x14ac:dyDescent="0.2">
      <c r="B46" s="16">
        <v>37</v>
      </c>
      <c r="C46" s="10"/>
      <c r="D46" s="10"/>
      <c r="E46" s="14"/>
      <c r="F46" s="10"/>
      <c r="G46" s="14"/>
      <c r="H46" s="10"/>
      <c r="I46" s="14"/>
      <c r="J46" s="10"/>
      <c r="K46" s="9" t="str">
        <f t="shared" si="1"/>
        <v/>
      </c>
      <c r="L46" s="14"/>
    </row>
    <row r="47" spans="2:12" x14ac:dyDescent="0.2">
      <c r="B47" s="16">
        <v>38</v>
      </c>
      <c r="C47" s="10"/>
      <c r="D47" s="10"/>
      <c r="E47" s="14"/>
      <c r="F47" s="10"/>
      <c r="G47" s="14"/>
      <c r="H47" s="10"/>
      <c r="I47" s="14"/>
      <c r="J47" s="10"/>
      <c r="K47" s="9" t="str">
        <f t="shared" si="1"/>
        <v/>
      </c>
      <c r="L47" s="14"/>
    </row>
    <row r="48" spans="2:12" x14ac:dyDescent="0.2">
      <c r="B48" s="16">
        <v>39</v>
      </c>
      <c r="C48" s="10"/>
      <c r="D48" s="10"/>
      <c r="E48" s="14"/>
      <c r="F48" s="10"/>
      <c r="G48" s="14"/>
      <c r="H48" s="10"/>
      <c r="I48" s="14"/>
      <c r="J48" s="10"/>
      <c r="K48" s="9" t="str">
        <f t="shared" si="1"/>
        <v/>
      </c>
      <c r="L48" s="14"/>
    </row>
    <row r="49" spans="2:12" x14ac:dyDescent="0.2">
      <c r="B49" s="16">
        <v>40</v>
      </c>
      <c r="C49" s="10"/>
      <c r="D49" s="10"/>
      <c r="E49" s="14"/>
      <c r="F49" s="10"/>
      <c r="G49" s="14"/>
      <c r="H49" s="10"/>
      <c r="I49" s="14"/>
      <c r="J49" s="10"/>
      <c r="K49" s="9" t="str">
        <f t="shared" si="1"/>
        <v/>
      </c>
      <c r="L49" s="14"/>
    </row>
    <row r="50" spans="2:12" x14ac:dyDescent="0.2">
      <c r="B50" s="16">
        <v>41</v>
      </c>
      <c r="C50" s="10"/>
      <c r="D50" s="10"/>
      <c r="E50" s="14"/>
      <c r="F50" s="10"/>
      <c r="G50" s="14"/>
      <c r="H50" s="10"/>
      <c r="I50" s="14"/>
      <c r="J50" s="10"/>
      <c r="K50" s="9" t="str">
        <f t="shared" si="1"/>
        <v/>
      </c>
      <c r="L50" s="14"/>
    </row>
    <row r="51" spans="2:12" x14ac:dyDescent="0.2">
      <c r="B51" s="16">
        <v>42</v>
      </c>
      <c r="C51" s="10"/>
      <c r="D51" s="10"/>
      <c r="E51" s="14"/>
      <c r="F51" s="10"/>
      <c r="G51" s="14"/>
      <c r="H51" s="10"/>
      <c r="I51" s="14"/>
      <c r="J51" s="10"/>
      <c r="K51" s="9" t="str">
        <f t="shared" si="1"/>
        <v/>
      </c>
      <c r="L51" s="14"/>
    </row>
    <row r="52" spans="2:12" x14ac:dyDescent="0.2">
      <c r="B52" s="15">
        <v>43</v>
      </c>
      <c r="C52" s="10"/>
      <c r="D52" s="10"/>
      <c r="E52" s="14"/>
      <c r="F52" s="10"/>
      <c r="G52" s="14"/>
      <c r="H52" s="10"/>
      <c r="I52" s="14"/>
      <c r="J52" s="10"/>
      <c r="K52" s="9" t="str">
        <f t="shared" si="1"/>
        <v/>
      </c>
      <c r="L52" s="14"/>
    </row>
    <row r="53" spans="2:12" x14ac:dyDescent="0.2">
      <c r="B53" s="15">
        <v>44</v>
      </c>
      <c r="C53" s="10"/>
      <c r="D53" s="10"/>
      <c r="E53" s="14"/>
      <c r="F53" s="10"/>
      <c r="G53" s="14"/>
      <c r="H53" s="10"/>
      <c r="I53" s="14"/>
      <c r="J53" s="10"/>
      <c r="K53" s="9" t="str">
        <f t="shared" si="1"/>
        <v/>
      </c>
      <c r="L53" s="14"/>
    </row>
    <row r="54" spans="2:12" x14ac:dyDescent="0.2">
      <c r="B54" s="15">
        <v>45</v>
      </c>
      <c r="C54" s="10"/>
      <c r="D54" s="10"/>
      <c r="E54" s="14"/>
      <c r="F54" s="10"/>
      <c r="G54" s="14"/>
      <c r="H54" s="10"/>
      <c r="I54" s="14"/>
      <c r="J54" s="10"/>
      <c r="K54" s="9" t="str">
        <f t="shared" si="1"/>
        <v/>
      </c>
      <c r="L54" s="14"/>
    </row>
    <row r="55" spans="2:12" x14ac:dyDescent="0.2">
      <c r="B55" s="15">
        <v>46</v>
      </c>
      <c r="C55" s="10"/>
      <c r="D55" s="10"/>
      <c r="E55" s="14"/>
      <c r="F55" s="10"/>
      <c r="G55" s="14"/>
      <c r="H55" s="10"/>
      <c r="I55" s="14"/>
      <c r="J55" s="10"/>
      <c r="K55" s="9" t="str">
        <f t="shared" si="1"/>
        <v/>
      </c>
      <c r="L55" s="14"/>
    </row>
    <row r="56" spans="2:12" x14ac:dyDescent="0.2">
      <c r="B56" s="15">
        <v>47</v>
      </c>
      <c r="C56" s="10"/>
      <c r="D56" s="10"/>
      <c r="E56" s="14"/>
      <c r="F56" s="10"/>
      <c r="G56" s="14"/>
      <c r="H56" s="10"/>
      <c r="I56" s="14"/>
      <c r="J56" s="10"/>
      <c r="K56" s="9" t="str">
        <f t="shared" si="1"/>
        <v/>
      </c>
      <c r="L56" s="14"/>
    </row>
    <row r="57" spans="2:12" x14ac:dyDescent="0.2">
      <c r="B57" s="15">
        <v>48</v>
      </c>
      <c r="C57" s="10"/>
      <c r="D57" s="10"/>
      <c r="E57" s="14"/>
      <c r="F57" s="10"/>
      <c r="G57" s="14"/>
      <c r="H57" s="10"/>
      <c r="I57" s="14"/>
      <c r="J57" s="10"/>
      <c r="K57" s="9" t="str">
        <f t="shared" si="1"/>
        <v/>
      </c>
      <c r="L57" s="14"/>
    </row>
    <row r="58" spans="2:12" x14ac:dyDescent="0.2">
      <c r="B58" s="15">
        <v>49</v>
      </c>
      <c r="C58" s="10"/>
      <c r="D58" s="10"/>
      <c r="E58" s="14"/>
      <c r="F58" s="10"/>
      <c r="G58" s="14"/>
      <c r="H58" s="10"/>
      <c r="I58" s="14"/>
      <c r="J58" s="10"/>
      <c r="K58" s="9" t="str">
        <f t="shared" si="1"/>
        <v/>
      </c>
      <c r="L58" s="14"/>
    </row>
    <row r="59" spans="2:12" x14ac:dyDescent="0.2">
      <c r="B59" s="16">
        <v>50</v>
      </c>
      <c r="C59" s="10"/>
      <c r="D59" s="10"/>
      <c r="E59" s="14"/>
      <c r="F59" s="10"/>
      <c r="G59" s="14"/>
      <c r="H59" s="10"/>
      <c r="I59" s="14"/>
      <c r="J59" s="10"/>
      <c r="K59" s="9" t="str">
        <f t="shared" si="1"/>
        <v/>
      </c>
      <c r="L59" s="14"/>
    </row>
    <row r="60" spans="2:12" x14ac:dyDescent="0.2">
      <c r="B60" s="16">
        <v>51</v>
      </c>
      <c r="C60" s="10"/>
      <c r="D60" s="10"/>
      <c r="E60" s="14"/>
      <c r="F60" s="10"/>
      <c r="G60" s="14"/>
      <c r="H60" s="10"/>
      <c r="I60" s="14"/>
      <c r="J60" s="10"/>
      <c r="K60" s="9" t="str">
        <f t="shared" si="1"/>
        <v/>
      </c>
      <c r="L60" s="14"/>
    </row>
    <row r="61" spans="2:12" x14ac:dyDescent="0.2">
      <c r="B61" s="16">
        <v>52</v>
      </c>
      <c r="C61" s="10"/>
      <c r="D61" s="10"/>
      <c r="E61" s="14"/>
      <c r="F61" s="10"/>
      <c r="G61" s="14"/>
      <c r="H61" s="10"/>
      <c r="I61" s="14"/>
      <c r="J61" s="10"/>
      <c r="K61" s="9" t="str">
        <f t="shared" si="1"/>
        <v/>
      </c>
      <c r="L61" s="14"/>
    </row>
    <row r="62" spans="2:12" x14ac:dyDescent="0.2">
      <c r="B62" s="16">
        <v>53</v>
      </c>
      <c r="C62" s="10"/>
      <c r="D62" s="10"/>
      <c r="E62" s="14"/>
      <c r="F62" s="10"/>
      <c r="G62" s="14"/>
      <c r="H62" s="10"/>
      <c r="I62" s="14"/>
      <c r="J62" s="10"/>
      <c r="K62" s="9" t="str">
        <f t="shared" si="1"/>
        <v/>
      </c>
      <c r="L62" s="14"/>
    </row>
    <row r="63" spans="2:12" x14ac:dyDescent="0.2">
      <c r="B63" s="16">
        <v>54</v>
      </c>
      <c r="C63" s="10"/>
      <c r="D63" s="10"/>
      <c r="E63" s="14"/>
      <c r="F63" s="10"/>
      <c r="G63" s="14"/>
      <c r="H63" s="10"/>
      <c r="I63" s="14"/>
      <c r="J63" s="10"/>
      <c r="K63" s="9" t="str">
        <f t="shared" si="1"/>
        <v/>
      </c>
      <c r="L63" s="14"/>
    </row>
    <row r="64" spans="2:12" x14ac:dyDescent="0.2">
      <c r="B64" s="16">
        <v>55</v>
      </c>
      <c r="C64" s="10"/>
      <c r="D64" s="10"/>
      <c r="E64" s="14"/>
      <c r="F64" s="10"/>
      <c r="G64" s="14"/>
      <c r="H64" s="10"/>
      <c r="I64" s="14"/>
      <c r="J64" s="10"/>
      <c r="K64" s="9" t="str">
        <f t="shared" si="1"/>
        <v/>
      </c>
      <c r="L64" s="14"/>
    </row>
    <row r="65" spans="2:12" x14ac:dyDescent="0.2">
      <c r="B65" s="16">
        <v>56</v>
      </c>
      <c r="C65" s="10"/>
      <c r="D65" s="10"/>
      <c r="E65" s="14"/>
      <c r="F65" s="10"/>
      <c r="G65" s="14"/>
      <c r="H65" s="10"/>
      <c r="I65" s="14"/>
      <c r="J65" s="10"/>
      <c r="K65" s="9" t="str">
        <f t="shared" si="1"/>
        <v/>
      </c>
      <c r="L65" s="14"/>
    </row>
    <row r="66" spans="2:12" x14ac:dyDescent="0.2">
      <c r="B66" s="15">
        <v>57</v>
      </c>
      <c r="C66" s="10"/>
      <c r="D66" s="10"/>
      <c r="E66" s="14"/>
      <c r="F66" s="10"/>
      <c r="G66" s="14"/>
      <c r="H66" s="10"/>
      <c r="I66" s="14"/>
      <c r="J66" s="10"/>
      <c r="K66" s="9" t="str">
        <f t="shared" si="1"/>
        <v/>
      </c>
      <c r="L66" s="14"/>
    </row>
    <row r="67" spans="2:12" x14ac:dyDescent="0.2">
      <c r="B67" s="15">
        <v>58</v>
      </c>
      <c r="C67" s="10"/>
      <c r="D67" s="10"/>
      <c r="E67" s="14"/>
      <c r="F67" s="10"/>
      <c r="G67" s="14"/>
      <c r="H67" s="10"/>
      <c r="I67" s="14"/>
      <c r="J67" s="10"/>
      <c r="K67" s="9" t="str">
        <f t="shared" si="1"/>
        <v/>
      </c>
      <c r="L67" s="14"/>
    </row>
    <row r="68" spans="2:12" x14ac:dyDescent="0.2">
      <c r="B68" s="15">
        <v>59</v>
      </c>
      <c r="C68" s="10"/>
      <c r="D68" s="10"/>
      <c r="E68" s="14"/>
      <c r="F68" s="10"/>
      <c r="G68" s="14"/>
      <c r="H68" s="10"/>
      <c r="I68" s="14"/>
      <c r="J68" s="10"/>
      <c r="K68" s="9" t="str">
        <f t="shared" si="1"/>
        <v/>
      </c>
      <c r="L68" s="14"/>
    </row>
    <row r="69" spans="2:12" x14ac:dyDescent="0.2">
      <c r="B69" s="15">
        <v>60</v>
      </c>
      <c r="C69" s="10"/>
      <c r="D69" s="10"/>
      <c r="E69" s="14"/>
      <c r="F69" s="10"/>
      <c r="G69" s="14"/>
      <c r="H69" s="10"/>
      <c r="I69" s="14"/>
      <c r="J69" s="10"/>
      <c r="K69" s="9" t="str">
        <f t="shared" si="1"/>
        <v/>
      </c>
      <c r="L69" s="14"/>
    </row>
    <row r="70" spans="2:12" x14ac:dyDescent="0.2">
      <c r="B70" s="15">
        <v>61</v>
      </c>
      <c r="C70" s="10"/>
      <c r="D70" s="10"/>
      <c r="E70" s="14"/>
      <c r="F70" s="10"/>
      <c r="G70" s="14"/>
      <c r="H70" s="10"/>
      <c r="I70" s="14"/>
      <c r="J70" s="10"/>
      <c r="K70" s="9" t="str">
        <f t="shared" si="1"/>
        <v/>
      </c>
      <c r="L70" s="14"/>
    </row>
    <row r="71" spans="2:12" x14ac:dyDescent="0.2">
      <c r="B71" s="15">
        <v>62</v>
      </c>
      <c r="C71" s="10"/>
      <c r="D71" s="10"/>
      <c r="E71" s="14"/>
      <c r="F71" s="10"/>
      <c r="G71" s="14"/>
      <c r="H71" s="10"/>
      <c r="I71" s="14"/>
      <c r="J71" s="10"/>
      <c r="K71" s="9" t="str">
        <f t="shared" si="1"/>
        <v/>
      </c>
      <c r="L71" s="14"/>
    </row>
    <row r="72" spans="2:12" x14ac:dyDescent="0.2">
      <c r="B72" s="15">
        <v>63</v>
      </c>
      <c r="C72" s="10"/>
      <c r="D72" s="10"/>
      <c r="E72" s="14"/>
      <c r="F72" s="10"/>
      <c r="G72" s="14"/>
      <c r="H72" s="10"/>
      <c r="I72" s="14"/>
      <c r="J72" s="10"/>
      <c r="K72" s="9" t="str">
        <f t="shared" si="1"/>
        <v/>
      </c>
      <c r="L72" s="14"/>
    </row>
    <row r="73" spans="2:12" x14ac:dyDescent="0.2">
      <c r="B73" s="16">
        <v>64</v>
      </c>
      <c r="C73" s="10"/>
      <c r="D73" s="10"/>
      <c r="E73" s="14"/>
      <c r="F73" s="10"/>
      <c r="G73" s="14"/>
      <c r="H73" s="10"/>
      <c r="I73" s="14"/>
      <c r="J73" s="10"/>
      <c r="K73" s="9" t="str">
        <f t="shared" si="1"/>
        <v/>
      </c>
      <c r="L73" s="14"/>
    </row>
    <row r="74" spans="2:12" x14ac:dyDescent="0.2">
      <c r="B74" s="16">
        <v>65</v>
      </c>
      <c r="C74" s="10"/>
      <c r="D74" s="10"/>
      <c r="E74" s="14"/>
      <c r="F74" s="10"/>
      <c r="G74" s="14"/>
      <c r="H74" s="10"/>
      <c r="I74" s="14"/>
      <c r="J74" s="10"/>
      <c r="K74" s="9" t="str">
        <f t="shared" ref="K74:K105" si="2">IFERROR(IF(COUNT(F74,H74,J74)=0,"",SUM(F74,H74,J74)),"")</f>
        <v/>
      </c>
      <c r="L74" s="14"/>
    </row>
    <row r="75" spans="2:12" x14ac:dyDescent="0.2">
      <c r="B75" s="16">
        <v>66</v>
      </c>
      <c r="C75" s="10"/>
      <c r="D75" s="10"/>
      <c r="E75" s="14"/>
      <c r="F75" s="10"/>
      <c r="G75" s="14"/>
      <c r="H75" s="10"/>
      <c r="I75" s="14"/>
      <c r="J75" s="10"/>
      <c r="K75" s="9" t="str">
        <f t="shared" si="2"/>
        <v/>
      </c>
      <c r="L75" s="14"/>
    </row>
    <row r="76" spans="2:12" x14ac:dyDescent="0.2">
      <c r="B76" s="16">
        <v>67</v>
      </c>
      <c r="C76" s="10"/>
      <c r="D76" s="10"/>
      <c r="E76" s="14"/>
      <c r="F76" s="10"/>
      <c r="G76" s="14"/>
      <c r="H76" s="10"/>
      <c r="I76" s="14"/>
      <c r="J76" s="10"/>
      <c r="K76" s="9" t="str">
        <f t="shared" si="2"/>
        <v/>
      </c>
      <c r="L76" s="14"/>
    </row>
    <row r="77" spans="2:12" x14ac:dyDescent="0.2">
      <c r="B77" s="16">
        <v>68</v>
      </c>
      <c r="C77" s="10"/>
      <c r="D77" s="10"/>
      <c r="E77" s="14"/>
      <c r="F77" s="10"/>
      <c r="G77" s="14"/>
      <c r="H77" s="10"/>
      <c r="I77" s="14"/>
      <c r="J77" s="10"/>
      <c r="K77" s="9" t="str">
        <f t="shared" si="2"/>
        <v/>
      </c>
      <c r="L77" s="14"/>
    </row>
    <row r="78" spans="2:12" x14ac:dyDescent="0.2">
      <c r="B78" s="16">
        <v>69</v>
      </c>
      <c r="C78" s="10"/>
      <c r="D78" s="10"/>
      <c r="E78" s="14"/>
      <c r="F78" s="10"/>
      <c r="G78" s="14"/>
      <c r="H78" s="10"/>
      <c r="I78" s="14"/>
      <c r="J78" s="10"/>
      <c r="K78" s="9" t="str">
        <f t="shared" si="2"/>
        <v/>
      </c>
      <c r="L78" s="14"/>
    </row>
    <row r="79" spans="2:12" x14ac:dyDescent="0.2">
      <c r="B79" s="16">
        <v>70</v>
      </c>
      <c r="C79" s="10"/>
      <c r="D79" s="10"/>
      <c r="E79" s="14"/>
      <c r="F79" s="10"/>
      <c r="G79" s="14"/>
      <c r="H79" s="10"/>
      <c r="I79" s="14"/>
      <c r="J79" s="10"/>
      <c r="K79" s="9" t="str">
        <f t="shared" si="2"/>
        <v/>
      </c>
      <c r="L79" s="14"/>
    </row>
    <row r="80" spans="2:12" x14ac:dyDescent="0.2">
      <c r="B80" s="15">
        <v>71</v>
      </c>
      <c r="C80" s="10"/>
      <c r="D80" s="10"/>
      <c r="E80" s="14"/>
      <c r="F80" s="10"/>
      <c r="G80" s="14"/>
      <c r="H80" s="10"/>
      <c r="I80" s="14"/>
      <c r="J80" s="10"/>
      <c r="K80" s="9" t="str">
        <f t="shared" si="2"/>
        <v/>
      </c>
      <c r="L80" s="14"/>
    </row>
    <row r="81" spans="2:12" x14ac:dyDescent="0.2">
      <c r="B81" s="15">
        <v>72</v>
      </c>
      <c r="C81" s="10"/>
      <c r="D81" s="10"/>
      <c r="E81" s="14"/>
      <c r="F81" s="10"/>
      <c r="G81" s="14"/>
      <c r="H81" s="10"/>
      <c r="I81" s="14"/>
      <c r="J81" s="10"/>
      <c r="K81" s="9" t="str">
        <f t="shared" si="2"/>
        <v/>
      </c>
      <c r="L81" s="14"/>
    </row>
    <row r="82" spans="2:12" x14ac:dyDescent="0.2">
      <c r="B82" s="15">
        <v>73</v>
      </c>
      <c r="C82" s="10"/>
      <c r="D82" s="10"/>
      <c r="E82" s="14"/>
      <c r="F82" s="10"/>
      <c r="G82" s="14"/>
      <c r="H82" s="10"/>
      <c r="I82" s="14"/>
      <c r="J82" s="10"/>
      <c r="K82" s="9" t="str">
        <f t="shared" si="2"/>
        <v/>
      </c>
      <c r="L82" s="14"/>
    </row>
    <row r="83" spans="2:12" x14ac:dyDescent="0.2">
      <c r="B83" s="15">
        <v>74</v>
      </c>
      <c r="C83" s="10"/>
      <c r="D83" s="10"/>
      <c r="E83" s="14"/>
      <c r="F83" s="10"/>
      <c r="G83" s="14"/>
      <c r="H83" s="10"/>
      <c r="I83" s="14"/>
      <c r="J83" s="10"/>
      <c r="K83" s="9" t="str">
        <f t="shared" si="2"/>
        <v/>
      </c>
      <c r="L83" s="14"/>
    </row>
    <row r="84" spans="2:12" x14ac:dyDescent="0.2">
      <c r="B84" s="15">
        <v>75</v>
      </c>
      <c r="C84" s="10"/>
      <c r="D84" s="10"/>
      <c r="E84" s="14"/>
      <c r="F84" s="10"/>
      <c r="G84" s="14"/>
      <c r="H84" s="10"/>
      <c r="I84" s="14"/>
      <c r="J84" s="10"/>
      <c r="K84" s="9" t="str">
        <f t="shared" si="2"/>
        <v/>
      </c>
      <c r="L84" s="14"/>
    </row>
    <row r="85" spans="2:12" x14ac:dyDescent="0.2">
      <c r="B85" s="15">
        <v>76</v>
      </c>
      <c r="C85" s="10"/>
      <c r="D85" s="10"/>
      <c r="E85" s="14"/>
      <c r="F85" s="10"/>
      <c r="G85" s="14"/>
      <c r="H85" s="10"/>
      <c r="I85" s="14"/>
      <c r="J85" s="10"/>
      <c r="K85" s="9" t="str">
        <f t="shared" si="2"/>
        <v/>
      </c>
      <c r="L85" s="14"/>
    </row>
    <row r="86" spans="2:12" x14ac:dyDescent="0.2">
      <c r="B86" s="15">
        <v>77</v>
      </c>
      <c r="C86" s="10"/>
      <c r="D86" s="10"/>
      <c r="E86" s="14"/>
      <c r="F86" s="10"/>
      <c r="G86" s="14"/>
      <c r="H86" s="10"/>
      <c r="I86" s="14"/>
      <c r="J86" s="10"/>
      <c r="K86" s="9" t="str">
        <f t="shared" si="2"/>
        <v/>
      </c>
      <c r="L86" s="14"/>
    </row>
    <row r="87" spans="2:12" x14ac:dyDescent="0.2">
      <c r="B87" s="16">
        <v>78</v>
      </c>
      <c r="C87" s="10"/>
      <c r="D87" s="10"/>
      <c r="E87" s="14"/>
      <c r="F87" s="10"/>
      <c r="G87" s="14"/>
      <c r="H87" s="10"/>
      <c r="I87" s="14"/>
      <c r="J87" s="10"/>
      <c r="K87" s="9" t="str">
        <f t="shared" si="2"/>
        <v/>
      </c>
      <c r="L87" s="14"/>
    </row>
    <row r="88" spans="2:12" x14ac:dyDescent="0.2">
      <c r="B88" s="16">
        <v>79</v>
      </c>
      <c r="C88" s="10"/>
      <c r="D88" s="10"/>
      <c r="E88" s="14"/>
      <c r="F88" s="10"/>
      <c r="G88" s="14"/>
      <c r="H88" s="10"/>
      <c r="I88" s="14"/>
      <c r="J88" s="10"/>
      <c r="K88" s="9" t="str">
        <f t="shared" si="2"/>
        <v/>
      </c>
      <c r="L88" s="14"/>
    </row>
    <row r="89" spans="2:12" x14ac:dyDescent="0.2">
      <c r="B89" s="16">
        <v>80</v>
      </c>
      <c r="C89" s="10"/>
      <c r="D89" s="10"/>
      <c r="E89" s="14"/>
      <c r="F89" s="10"/>
      <c r="G89" s="14"/>
      <c r="H89" s="10"/>
      <c r="I89" s="14"/>
      <c r="J89" s="10"/>
      <c r="K89" s="9" t="str">
        <f t="shared" si="2"/>
        <v/>
      </c>
      <c r="L89" s="14"/>
    </row>
    <row r="90" spans="2:12" x14ac:dyDescent="0.2">
      <c r="B90" s="16">
        <v>81</v>
      </c>
      <c r="C90" s="10"/>
      <c r="D90" s="10"/>
      <c r="E90" s="14"/>
      <c r="F90" s="10"/>
      <c r="G90" s="14"/>
      <c r="H90" s="10"/>
      <c r="I90" s="14"/>
      <c r="J90" s="10"/>
      <c r="K90" s="9" t="str">
        <f t="shared" si="2"/>
        <v/>
      </c>
      <c r="L90" s="14"/>
    </row>
    <row r="91" spans="2:12" x14ac:dyDescent="0.2">
      <c r="B91" s="16">
        <v>82</v>
      </c>
      <c r="C91" s="10"/>
      <c r="D91" s="10"/>
      <c r="E91" s="14"/>
      <c r="F91" s="10"/>
      <c r="G91" s="14"/>
      <c r="H91" s="10"/>
      <c r="I91" s="14"/>
      <c r="J91" s="10"/>
      <c r="K91" s="9" t="str">
        <f t="shared" si="2"/>
        <v/>
      </c>
      <c r="L91" s="14"/>
    </row>
    <row r="92" spans="2:12" x14ac:dyDescent="0.2">
      <c r="B92" s="16">
        <v>83</v>
      </c>
      <c r="C92" s="10"/>
      <c r="D92" s="10"/>
      <c r="E92" s="14"/>
      <c r="F92" s="10"/>
      <c r="G92" s="14"/>
      <c r="H92" s="10"/>
      <c r="I92" s="14"/>
      <c r="J92" s="10"/>
      <c r="K92" s="9" t="str">
        <f t="shared" si="2"/>
        <v/>
      </c>
      <c r="L92" s="14"/>
    </row>
    <row r="93" spans="2:12" x14ac:dyDescent="0.2">
      <c r="B93" s="16">
        <v>84</v>
      </c>
      <c r="C93" s="10"/>
      <c r="D93" s="10"/>
      <c r="E93" s="14"/>
      <c r="F93" s="10"/>
      <c r="G93" s="14"/>
      <c r="H93" s="10"/>
      <c r="I93" s="14"/>
      <c r="J93" s="10"/>
      <c r="K93" s="9" t="str">
        <f t="shared" si="2"/>
        <v/>
      </c>
      <c r="L93" s="14"/>
    </row>
    <row r="94" spans="2:12" x14ac:dyDescent="0.2">
      <c r="B94" s="15">
        <v>85</v>
      </c>
      <c r="C94" s="10"/>
      <c r="D94" s="10"/>
      <c r="E94" s="14"/>
      <c r="F94" s="10"/>
      <c r="G94" s="14"/>
      <c r="H94" s="10"/>
      <c r="I94" s="14"/>
      <c r="J94" s="10"/>
      <c r="K94" s="9" t="str">
        <f t="shared" si="2"/>
        <v/>
      </c>
      <c r="L94" s="14"/>
    </row>
    <row r="95" spans="2:12" x14ac:dyDescent="0.2">
      <c r="B95" s="15">
        <v>86</v>
      </c>
      <c r="C95" s="10"/>
      <c r="D95" s="10"/>
      <c r="E95" s="14"/>
      <c r="F95" s="10"/>
      <c r="G95" s="14"/>
      <c r="H95" s="10"/>
      <c r="I95" s="14"/>
      <c r="J95" s="10"/>
      <c r="K95" s="9" t="str">
        <f t="shared" si="2"/>
        <v/>
      </c>
      <c r="L95" s="14"/>
    </row>
    <row r="96" spans="2:12" x14ac:dyDescent="0.2">
      <c r="B96" s="15">
        <v>87</v>
      </c>
      <c r="C96" s="10"/>
      <c r="D96" s="10"/>
      <c r="E96" s="14"/>
      <c r="F96" s="10"/>
      <c r="G96" s="14"/>
      <c r="H96" s="10"/>
      <c r="I96" s="14"/>
      <c r="J96" s="10"/>
      <c r="K96" s="9" t="str">
        <f t="shared" si="2"/>
        <v/>
      </c>
      <c r="L96" s="14"/>
    </row>
    <row r="97" spans="2:12" x14ac:dyDescent="0.2">
      <c r="B97" s="15">
        <v>88</v>
      </c>
      <c r="C97" s="10"/>
      <c r="D97" s="10"/>
      <c r="E97" s="14"/>
      <c r="F97" s="10"/>
      <c r="G97" s="14"/>
      <c r="H97" s="10"/>
      <c r="I97" s="14"/>
      <c r="J97" s="10"/>
      <c r="K97" s="9" t="str">
        <f t="shared" si="2"/>
        <v/>
      </c>
      <c r="L97" s="14"/>
    </row>
    <row r="98" spans="2:12" x14ac:dyDescent="0.2">
      <c r="B98" s="15">
        <v>89</v>
      </c>
      <c r="C98" s="10"/>
      <c r="D98" s="10"/>
      <c r="E98" s="14"/>
      <c r="F98" s="10"/>
      <c r="G98" s="14"/>
      <c r="H98" s="10"/>
      <c r="I98" s="14"/>
      <c r="J98" s="10"/>
      <c r="K98" s="9" t="str">
        <f t="shared" si="2"/>
        <v/>
      </c>
      <c r="L98" s="14"/>
    </row>
    <row r="99" spans="2:12" x14ac:dyDescent="0.2">
      <c r="B99" s="15">
        <v>90</v>
      </c>
      <c r="C99" s="10"/>
      <c r="D99" s="10"/>
      <c r="E99" s="14"/>
      <c r="F99" s="10"/>
      <c r="G99" s="14"/>
      <c r="H99" s="10"/>
      <c r="I99" s="14"/>
      <c r="J99" s="10"/>
      <c r="K99" s="9" t="str">
        <f t="shared" si="2"/>
        <v/>
      </c>
      <c r="L99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89"/>
  <sheetViews>
    <sheetView showGridLines="0" topLeftCell="A72" zoomScaleNormal="100" workbookViewId="0"/>
  </sheetViews>
  <sheetFormatPr baseColWidth="10" defaultColWidth="8.6640625" defaultRowHeight="15" x14ac:dyDescent="0.2"/>
  <cols>
    <col min="1" max="1" width="2" customWidth="1"/>
    <col min="2" max="2" width="42" customWidth="1"/>
    <col min="3" max="9" width="7" customWidth="1"/>
    <col min="10" max="10" width="11" customWidth="1"/>
    <col min="11" max="11" width="9" customWidth="1"/>
  </cols>
  <sheetData>
    <row r="2" spans="2:13" ht="20" x14ac:dyDescent="0.2">
      <c r="B2" s="1" t="s">
        <v>90</v>
      </c>
    </row>
    <row r="3" spans="2:13" x14ac:dyDescent="0.2">
      <c r="B3" s="2" t="s">
        <v>91</v>
      </c>
    </row>
    <row r="5" spans="2:13" ht="16" x14ac:dyDescent="0.2">
      <c r="B5" s="17" t="s">
        <v>92</v>
      </c>
      <c r="C5" s="18" t="s">
        <v>93</v>
      </c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2:13" ht="21.75" customHeight="1" x14ac:dyDescent="0.2">
      <c r="B6" s="20" t="s">
        <v>94</v>
      </c>
      <c r="C6" s="20" t="s">
        <v>95</v>
      </c>
      <c r="D6" s="20" t="s">
        <v>96</v>
      </c>
      <c r="E6" s="20" t="s">
        <v>97</v>
      </c>
      <c r="F6" s="20" t="s">
        <v>98</v>
      </c>
      <c r="G6" s="20" t="s">
        <v>99</v>
      </c>
      <c r="H6" s="20" t="s">
        <v>100</v>
      </c>
      <c r="I6" s="20" t="s">
        <v>101</v>
      </c>
      <c r="J6" s="20" t="s">
        <v>102</v>
      </c>
      <c r="K6" s="20" t="s">
        <v>103</v>
      </c>
    </row>
    <row r="7" spans="2:13" x14ac:dyDescent="0.2">
      <c r="B7" s="14"/>
      <c r="C7" s="10"/>
      <c r="D7" s="10"/>
      <c r="E7" s="10"/>
      <c r="F7" s="10"/>
      <c r="G7" s="10"/>
      <c r="H7" s="10"/>
      <c r="I7" s="10"/>
      <c r="J7" s="9">
        <f>COUNTIF(C7:I7,"Y")</f>
        <v>0</v>
      </c>
      <c r="K7" s="21">
        <f>IFERROR(J7/7,"")</f>
        <v>0</v>
      </c>
    </row>
    <row r="8" spans="2:13" x14ac:dyDescent="0.2">
      <c r="B8" s="14"/>
      <c r="C8" s="10"/>
      <c r="D8" s="10"/>
      <c r="E8" s="10"/>
      <c r="F8" s="10"/>
      <c r="G8" s="10"/>
      <c r="H8" s="10"/>
      <c r="I8" s="10"/>
      <c r="J8" s="9">
        <f>COUNTIF(C8:I8,"Y")</f>
        <v>0</v>
      </c>
      <c r="K8" s="21">
        <f>IFERROR(J8/7,"")</f>
        <v>0</v>
      </c>
    </row>
    <row r="9" spans="2:13" x14ac:dyDescent="0.2">
      <c r="B9" s="14"/>
      <c r="C9" s="10"/>
      <c r="D9" s="10"/>
      <c r="E9" s="10"/>
      <c r="F9" s="10"/>
      <c r="G9" s="10"/>
      <c r="H9" s="10"/>
      <c r="I9" s="10"/>
      <c r="J9" s="9">
        <f>COUNTIF(C9:I9,"Y")</f>
        <v>0</v>
      </c>
      <c r="K9" s="21">
        <f>IFERROR(J9/7,"")</f>
        <v>0</v>
      </c>
    </row>
    <row r="10" spans="2:13" x14ac:dyDescent="0.2">
      <c r="B10" s="22" t="s">
        <v>104</v>
      </c>
      <c r="C10" s="19"/>
      <c r="D10" s="19"/>
      <c r="E10" s="19"/>
      <c r="F10" s="19"/>
      <c r="G10" s="19"/>
      <c r="H10" s="19"/>
      <c r="I10" s="19"/>
      <c r="J10" s="13">
        <f>SUM(J7:J9)</f>
        <v>0</v>
      </c>
      <c r="K10" s="23">
        <f>IFERROR(J10/21,"")</f>
        <v>0</v>
      </c>
    </row>
    <row r="12" spans="2:13" ht="16" x14ac:dyDescent="0.2">
      <c r="B12" s="17" t="s">
        <v>105</v>
      </c>
      <c r="C12" s="18" t="s">
        <v>93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2:13" ht="21.75" customHeight="1" x14ac:dyDescent="0.2">
      <c r="B13" s="20" t="s">
        <v>94</v>
      </c>
      <c r="C13" s="20" t="s">
        <v>95</v>
      </c>
      <c r="D13" s="20" t="s">
        <v>96</v>
      </c>
      <c r="E13" s="20" t="s">
        <v>97</v>
      </c>
      <c r="F13" s="20" t="s">
        <v>98</v>
      </c>
      <c r="G13" s="20" t="s">
        <v>99</v>
      </c>
      <c r="H13" s="20" t="s">
        <v>100</v>
      </c>
      <c r="I13" s="20" t="s">
        <v>101</v>
      </c>
      <c r="J13" s="20" t="s">
        <v>102</v>
      </c>
      <c r="K13" s="20" t="s">
        <v>103</v>
      </c>
    </row>
    <row r="14" spans="2:13" x14ac:dyDescent="0.2">
      <c r="B14" s="14"/>
      <c r="C14" s="10"/>
      <c r="D14" s="10"/>
      <c r="E14" s="10"/>
      <c r="F14" s="10"/>
      <c r="G14" s="10"/>
      <c r="H14" s="10"/>
      <c r="I14" s="10"/>
      <c r="J14" s="9">
        <f>COUNTIF(C14:I14,"Y")</f>
        <v>0</v>
      </c>
      <c r="K14" s="21">
        <f>IFERROR(J14/7,"")</f>
        <v>0</v>
      </c>
    </row>
    <row r="15" spans="2:13" x14ac:dyDescent="0.2">
      <c r="B15" s="14"/>
      <c r="C15" s="10"/>
      <c r="D15" s="10"/>
      <c r="E15" s="10"/>
      <c r="F15" s="10"/>
      <c r="G15" s="10"/>
      <c r="H15" s="10"/>
      <c r="I15" s="10"/>
      <c r="J15" s="9">
        <f>COUNTIF(C15:I15,"Y")</f>
        <v>0</v>
      </c>
      <c r="K15" s="21">
        <f>IFERROR(J15/7,"")</f>
        <v>0</v>
      </c>
    </row>
    <row r="16" spans="2:13" x14ac:dyDescent="0.2">
      <c r="B16" s="14"/>
      <c r="C16" s="10"/>
      <c r="D16" s="10"/>
      <c r="E16" s="10"/>
      <c r="F16" s="10"/>
      <c r="G16" s="10"/>
      <c r="H16" s="10"/>
      <c r="I16" s="10"/>
      <c r="J16" s="9">
        <f>COUNTIF(C16:I16,"Y")</f>
        <v>0</v>
      </c>
      <c r="K16" s="21">
        <f>IFERROR(J16/7,"")</f>
        <v>0</v>
      </c>
    </row>
    <row r="17" spans="2:13" x14ac:dyDescent="0.2">
      <c r="B17" s="22" t="s">
        <v>104</v>
      </c>
      <c r="C17" s="19"/>
      <c r="D17" s="19"/>
      <c r="E17" s="19"/>
      <c r="F17" s="19"/>
      <c r="G17" s="19"/>
      <c r="H17" s="19"/>
      <c r="I17" s="19"/>
      <c r="J17" s="13">
        <f>SUM(J14:J16)</f>
        <v>0</v>
      </c>
      <c r="K17" s="23">
        <f>IFERROR(J17/21,"")</f>
        <v>0</v>
      </c>
    </row>
    <row r="19" spans="2:13" ht="16" x14ac:dyDescent="0.2">
      <c r="B19" s="17" t="s">
        <v>106</v>
      </c>
      <c r="C19" s="18" t="s">
        <v>93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2:13" ht="21.75" customHeight="1" x14ac:dyDescent="0.2">
      <c r="B20" s="20" t="s">
        <v>94</v>
      </c>
      <c r="C20" s="20" t="s">
        <v>95</v>
      </c>
      <c r="D20" s="20" t="s">
        <v>96</v>
      </c>
      <c r="E20" s="20" t="s">
        <v>97</v>
      </c>
      <c r="F20" s="20" t="s">
        <v>98</v>
      </c>
      <c r="G20" s="20" t="s">
        <v>99</v>
      </c>
      <c r="H20" s="20" t="s">
        <v>100</v>
      </c>
      <c r="I20" s="20" t="s">
        <v>101</v>
      </c>
      <c r="J20" s="20" t="s">
        <v>102</v>
      </c>
      <c r="K20" s="20" t="s">
        <v>103</v>
      </c>
    </row>
    <row r="21" spans="2:13" x14ac:dyDescent="0.2">
      <c r="B21" s="14"/>
      <c r="C21" s="10"/>
      <c r="D21" s="10"/>
      <c r="E21" s="10"/>
      <c r="F21" s="10"/>
      <c r="G21" s="10"/>
      <c r="H21" s="10"/>
      <c r="I21" s="10"/>
      <c r="J21" s="9">
        <f>COUNTIF(C21:I21,"Y")</f>
        <v>0</v>
      </c>
      <c r="K21" s="21">
        <f>IFERROR(J21/7,"")</f>
        <v>0</v>
      </c>
    </row>
    <row r="22" spans="2:13" x14ac:dyDescent="0.2">
      <c r="B22" s="14"/>
      <c r="C22" s="10"/>
      <c r="D22" s="10"/>
      <c r="E22" s="10"/>
      <c r="F22" s="10"/>
      <c r="G22" s="10"/>
      <c r="H22" s="10"/>
      <c r="I22" s="10"/>
      <c r="J22" s="9">
        <f>COUNTIF(C22:I22,"Y")</f>
        <v>0</v>
      </c>
      <c r="K22" s="21">
        <f>IFERROR(J22/7,"")</f>
        <v>0</v>
      </c>
    </row>
    <row r="23" spans="2:13" x14ac:dyDescent="0.2">
      <c r="B23" s="14"/>
      <c r="C23" s="10"/>
      <c r="D23" s="10"/>
      <c r="E23" s="10"/>
      <c r="F23" s="10"/>
      <c r="G23" s="10"/>
      <c r="H23" s="10"/>
      <c r="I23" s="10"/>
      <c r="J23" s="9">
        <f>COUNTIF(C23:I23,"Y")</f>
        <v>0</v>
      </c>
      <c r="K23" s="21">
        <f>IFERROR(J23/7,"")</f>
        <v>0</v>
      </c>
    </row>
    <row r="24" spans="2:13" x14ac:dyDescent="0.2">
      <c r="B24" s="22" t="s">
        <v>104</v>
      </c>
      <c r="C24" s="19"/>
      <c r="D24" s="19"/>
      <c r="E24" s="19"/>
      <c r="F24" s="19"/>
      <c r="G24" s="19"/>
      <c r="H24" s="19"/>
      <c r="I24" s="19"/>
      <c r="J24" s="13">
        <f>SUM(J21:J23)</f>
        <v>0</v>
      </c>
      <c r="K24" s="23">
        <f>IFERROR(J24/21,"")</f>
        <v>0</v>
      </c>
    </row>
    <row r="26" spans="2:13" ht="16" x14ac:dyDescent="0.2">
      <c r="B26" s="17" t="s">
        <v>107</v>
      </c>
      <c r="C26" s="18" t="s">
        <v>93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2:13" ht="21.75" customHeight="1" x14ac:dyDescent="0.2">
      <c r="B27" s="20" t="s">
        <v>94</v>
      </c>
      <c r="C27" s="20" t="s">
        <v>95</v>
      </c>
      <c r="D27" s="20" t="s">
        <v>96</v>
      </c>
      <c r="E27" s="20" t="s">
        <v>97</v>
      </c>
      <c r="F27" s="20" t="s">
        <v>98</v>
      </c>
      <c r="G27" s="20" t="s">
        <v>99</v>
      </c>
      <c r="H27" s="20" t="s">
        <v>100</v>
      </c>
      <c r="I27" s="20" t="s">
        <v>101</v>
      </c>
      <c r="J27" s="20" t="s">
        <v>102</v>
      </c>
      <c r="K27" s="20" t="s">
        <v>103</v>
      </c>
    </row>
    <row r="28" spans="2:13" x14ac:dyDescent="0.2">
      <c r="B28" s="14"/>
      <c r="C28" s="10"/>
      <c r="D28" s="10"/>
      <c r="E28" s="10"/>
      <c r="F28" s="10"/>
      <c r="G28" s="10"/>
      <c r="H28" s="10"/>
      <c r="I28" s="10"/>
      <c r="J28" s="9">
        <f>COUNTIF(C28:I28,"Y")</f>
        <v>0</v>
      </c>
      <c r="K28" s="21">
        <f>IFERROR(J28/7,"")</f>
        <v>0</v>
      </c>
    </row>
    <row r="29" spans="2:13" x14ac:dyDescent="0.2">
      <c r="B29" s="14"/>
      <c r="C29" s="10"/>
      <c r="D29" s="10"/>
      <c r="E29" s="10"/>
      <c r="F29" s="10"/>
      <c r="G29" s="10"/>
      <c r="H29" s="10"/>
      <c r="I29" s="10"/>
      <c r="J29" s="9">
        <f>COUNTIF(C29:I29,"Y")</f>
        <v>0</v>
      </c>
      <c r="K29" s="21">
        <f>IFERROR(J29/7,"")</f>
        <v>0</v>
      </c>
    </row>
    <row r="30" spans="2:13" x14ac:dyDescent="0.2">
      <c r="B30" s="14"/>
      <c r="C30" s="10"/>
      <c r="D30" s="10"/>
      <c r="E30" s="10"/>
      <c r="F30" s="10"/>
      <c r="G30" s="10"/>
      <c r="H30" s="10"/>
      <c r="I30" s="10"/>
      <c r="J30" s="9">
        <f>COUNTIF(C30:I30,"Y")</f>
        <v>0</v>
      </c>
      <c r="K30" s="21">
        <f>IFERROR(J30/7,"")</f>
        <v>0</v>
      </c>
    </row>
    <row r="31" spans="2:13" x14ac:dyDescent="0.2">
      <c r="B31" s="22" t="s">
        <v>104</v>
      </c>
      <c r="C31" s="19"/>
      <c r="D31" s="19"/>
      <c r="E31" s="19"/>
      <c r="F31" s="19"/>
      <c r="G31" s="19"/>
      <c r="H31" s="19"/>
      <c r="I31" s="19"/>
      <c r="J31" s="13">
        <f>SUM(J28:J30)</f>
        <v>0</v>
      </c>
      <c r="K31" s="23">
        <f>IFERROR(J31/21,"")</f>
        <v>0</v>
      </c>
    </row>
    <row r="33" spans="2:13" ht="16" x14ac:dyDescent="0.2">
      <c r="B33" s="17" t="s">
        <v>108</v>
      </c>
      <c r="C33" s="18" t="s">
        <v>93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2:13" ht="21.75" customHeight="1" x14ac:dyDescent="0.2">
      <c r="B34" s="20" t="s">
        <v>94</v>
      </c>
      <c r="C34" s="20" t="s">
        <v>95</v>
      </c>
      <c r="D34" s="20" t="s">
        <v>96</v>
      </c>
      <c r="E34" s="20" t="s">
        <v>97</v>
      </c>
      <c r="F34" s="20" t="s">
        <v>98</v>
      </c>
      <c r="G34" s="20" t="s">
        <v>99</v>
      </c>
      <c r="H34" s="20" t="s">
        <v>100</v>
      </c>
      <c r="I34" s="20" t="s">
        <v>101</v>
      </c>
      <c r="J34" s="20" t="s">
        <v>102</v>
      </c>
      <c r="K34" s="20" t="s">
        <v>103</v>
      </c>
    </row>
    <row r="35" spans="2:13" x14ac:dyDescent="0.2">
      <c r="B35" s="14"/>
      <c r="C35" s="10"/>
      <c r="D35" s="10"/>
      <c r="E35" s="10"/>
      <c r="F35" s="10"/>
      <c r="G35" s="10"/>
      <c r="H35" s="10"/>
      <c r="I35" s="10"/>
      <c r="J35" s="9">
        <f>COUNTIF(C35:I35,"Y")</f>
        <v>0</v>
      </c>
      <c r="K35" s="21">
        <f>IFERROR(J35/7,"")</f>
        <v>0</v>
      </c>
    </row>
    <row r="36" spans="2:13" x14ac:dyDescent="0.2">
      <c r="B36" s="14"/>
      <c r="C36" s="10"/>
      <c r="D36" s="10"/>
      <c r="E36" s="10"/>
      <c r="F36" s="10"/>
      <c r="G36" s="10"/>
      <c r="H36" s="10"/>
      <c r="I36" s="10"/>
      <c r="J36" s="9">
        <f>COUNTIF(C36:I36,"Y")</f>
        <v>0</v>
      </c>
      <c r="K36" s="21">
        <f>IFERROR(J36/7,"")</f>
        <v>0</v>
      </c>
    </row>
    <row r="37" spans="2:13" x14ac:dyDescent="0.2">
      <c r="B37" s="14"/>
      <c r="C37" s="10"/>
      <c r="D37" s="10"/>
      <c r="E37" s="10"/>
      <c r="F37" s="10"/>
      <c r="G37" s="10"/>
      <c r="H37" s="10"/>
      <c r="I37" s="10"/>
      <c r="J37" s="9">
        <f>COUNTIF(C37:I37,"Y")</f>
        <v>0</v>
      </c>
      <c r="K37" s="21">
        <f>IFERROR(J37/7,"")</f>
        <v>0</v>
      </c>
    </row>
    <row r="38" spans="2:13" x14ac:dyDescent="0.2">
      <c r="B38" s="22" t="s">
        <v>104</v>
      </c>
      <c r="C38" s="19"/>
      <c r="D38" s="19"/>
      <c r="E38" s="19"/>
      <c r="F38" s="19"/>
      <c r="G38" s="19"/>
      <c r="H38" s="19"/>
      <c r="I38" s="19"/>
      <c r="J38" s="13">
        <f>SUM(J35:J37)</f>
        <v>0</v>
      </c>
      <c r="K38" s="23">
        <f>IFERROR(J38/21,"")</f>
        <v>0</v>
      </c>
    </row>
    <row r="40" spans="2:13" ht="16" x14ac:dyDescent="0.2">
      <c r="B40" s="17" t="s">
        <v>109</v>
      </c>
      <c r="C40" s="18" t="s">
        <v>93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2:13" ht="21.75" customHeight="1" x14ac:dyDescent="0.2">
      <c r="B41" s="20" t="s">
        <v>94</v>
      </c>
      <c r="C41" s="20" t="s">
        <v>95</v>
      </c>
      <c r="D41" s="20" t="s">
        <v>96</v>
      </c>
      <c r="E41" s="20" t="s">
        <v>97</v>
      </c>
      <c r="F41" s="20" t="s">
        <v>98</v>
      </c>
      <c r="G41" s="20" t="s">
        <v>99</v>
      </c>
      <c r="H41" s="20" t="s">
        <v>100</v>
      </c>
      <c r="I41" s="20" t="s">
        <v>101</v>
      </c>
      <c r="J41" s="20" t="s">
        <v>102</v>
      </c>
      <c r="K41" s="20" t="s">
        <v>103</v>
      </c>
    </row>
    <row r="42" spans="2:13" x14ac:dyDescent="0.2">
      <c r="B42" s="14"/>
      <c r="C42" s="10"/>
      <c r="D42" s="10"/>
      <c r="E42" s="10"/>
      <c r="F42" s="10"/>
      <c r="G42" s="10"/>
      <c r="H42" s="10"/>
      <c r="I42" s="10"/>
      <c r="J42" s="9">
        <f>COUNTIF(C42:I42,"Y")</f>
        <v>0</v>
      </c>
      <c r="K42" s="21">
        <f>IFERROR(J42/7,"")</f>
        <v>0</v>
      </c>
    </row>
    <row r="43" spans="2:13" x14ac:dyDescent="0.2">
      <c r="B43" s="14"/>
      <c r="C43" s="10"/>
      <c r="D43" s="10"/>
      <c r="E43" s="10"/>
      <c r="F43" s="10"/>
      <c r="G43" s="10"/>
      <c r="H43" s="10"/>
      <c r="I43" s="10"/>
      <c r="J43" s="9">
        <f>COUNTIF(C43:I43,"Y")</f>
        <v>0</v>
      </c>
      <c r="K43" s="21">
        <f>IFERROR(J43/7,"")</f>
        <v>0</v>
      </c>
    </row>
    <row r="44" spans="2:13" x14ac:dyDescent="0.2">
      <c r="B44" s="14"/>
      <c r="C44" s="10"/>
      <c r="D44" s="10"/>
      <c r="E44" s="10"/>
      <c r="F44" s="10"/>
      <c r="G44" s="10"/>
      <c r="H44" s="10"/>
      <c r="I44" s="10"/>
      <c r="J44" s="9">
        <f>COUNTIF(C44:I44,"Y")</f>
        <v>0</v>
      </c>
      <c r="K44" s="21">
        <f>IFERROR(J44/7,"")</f>
        <v>0</v>
      </c>
    </row>
    <row r="45" spans="2:13" x14ac:dyDescent="0.2">
      <c r="B45" s="22" t="s">
        <v>104</v>
      </c>
      <c r="C45" s="19"/>
      <c r="D45" s="19"/>
      <c r="E45" s="19"/>
      <c r="F45" s="19"/>
      <c r="G45" s="19"/>
      <c r="H45" s="19"/>
      <c r="I45" s="19"/>
      <c r="J45" s="13">
        <f>SUM(J42:J44)</f>
        <v>0</v>
      </c>
      <c r="K45" s="23">
        <f>IFERROR(J45/21,"")</f>
        <v>0</v>
      </c>
    </row>
    <row r="47" spans="2:13" ht="16" x14ac:dyDescent="0.2">
      <c r="B47" s="17" t="s">
        <v>110</v>
      </c>
      <c r="C47" s="18" t="s">
        <v>93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2:13" ht="21.75" customHeight="1" x14ac:dyDescent="0.2">
      <c r="B48" s="20" t="s">
        <v>94</v>
      </c>
      <c r="C48" s="20" t="s">
        <v>95</v>
      </c>
      <c r="D48" s="20" t="s">
        <v>96</v>
      </c>
      <c r="E48" s="20" t="s">
        <v>97</v>
      </c>
      <c r="F48" s="20" t="s">
        <v>98</v>
      </c>
      <c r="G48" s="20" t="s">
        <v>99</v>
      </c>
      <c r="H48" s="20" t="s">
        <v>100</v>
      </c>
      <c r="I48" s="20" t="s">
        <v>101</v>
      </c>
      <c r="J48" s="20" t="s">
        <v>102</v>
      </c>
      <c r="K48" s="20" t="s">
        <v>103</v>
      </c>
    </row>
    <row r="49" spans="2:13" x14ac:dyDescent="0.2">
      <c r="B49" s="14"/>
      <c r="C49" s="10"/>
      <c r="D49" s="10"/>
      <c r="E49" s="10"/>
      <c r="F49" s="10"/>
      <c r="G49" s="10"/>
      <c r="H49" s="10"/>
      <c r="I49" s="10"/>
      <c r="J49" s="9">
        <f>COUNTIF(C49:I49,"Y")</f>
        <v>0</v>
      </c>
      <c r="K49" s="21">
        <f>IFERROR(J49/7,"")</f>
        <v>0</v>
      </c>
    </row>
    <row r="50" spans="2:13" x14ac:dyDescent="0.2">
      <c r="B50" s="14"/>
      <c r="C50" s="10"/>
      <c r="D50" s="10"/>
      <c r="E50" s="10"/>
      <c r="F50" s="10"/>
      <c r="G50" s="10"/>
      <c r="H50" s="10"/>
      <c r="I50" s="10"/>
      <c r="J50" s="9">
        <f>COUNTIF(C50:I50,"Y")</f>
        <v>0</v>
      </c>
      <c r="K50" s="21">
        <f>IFERROR(J50/7,"")</f>
        <v>0</v>
      </c>
    </row>
    <row r="51" spans="2:13" x14ac:dyDescent="0.2">
      <c r="B51" s="14"/>
      <c r="C51" s="10"/>
      <c r="D51" s="10"/>
      <c r="E51" s="10"/>
      <c r="F51" s="10"/>
      <c r="G51" s="10"/>
      <c r="H51" s="10"/>
      <c r="I51" s="10"/>
      <c r="J51" s="9">
        <f>COUNTIF(C51:I51,"Y")</f>
        <v>0</v>
      </c>
      <c r="K51" s="21">
        <f>IFERROR(J51/7,"")</f>
        <v>0</v>
      </c>
    </row>
    <row r="52" spans="2:13" x14ac:dyDescent="0.2">
      <c r="B52" s="22" t="s">
        <v>104</v>
      </c>
      <c r="C52" s="19"/>
      <c r="D52" s="19"/>
      <c r="E52" s="19"/>
      <c r="F52" s="19"/>
      <c r="G52" s="19"/>
      <c r="H52" s="19"/>
      <c r="I52" s="19"/>
      <c r="J52" s="13">
        <f>SUM(J49:J51)</f>
        <v>0</v>
      </c>
      <c r="K52" s="23">
        <f>IFERROR(J52/21,"")</f>
        <v>0</v>
      </c>
    </row>
    <row r="54" spans="2:13" ht="16" x14ac:dyDescent="0.2">
      <c r="B54" s="17" t="s">
        <v>111</v>
      </c>
      <c r="C54" s="18" t="s">
        <v>93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2:13" ht="21.75" customHeight="1" x14ac:dyDescent="0.2">
      <c r="B55" s="20" t="s">
        <v>94</v>
      </c>
      <c r="C55" s="20" t="s">
        <v>95</v>
      </c>
      <c r="D55" s="20" t="s">
        <v>96</v>
      </c>
      <c r="E55" s="20" t="s">
        <v>97</v>
      </c>
      <c r="F55" s="20" t="s">
        <v>98</v>
      </c>
      <c r="G55" s="20" t="s">
        <v>99</v>
      </c>
      <c r="H55" s="20" t="s">
        <v>100</v>
      </c>
      <c r="I55" s="20" t="s">
        <v>101</v>
      </c>
      <c r="J55" s="20" t="s">
        <v>102</v>
      </c>
      <c r="K55" s="20" t="s">
        <v>103</v>
      </c>
    </row>
    <row r="56" spans="2:13" x14ac:dyDescent="0.2">
      <c r="B56" s="14"/>
      <c r="C56" s="10"/>
      <c r="D56" s="10"/>
      <c r="E56" s="10"/>
      <c r="F56" s="10"/>
      <c r="G56" s="10"/>
      <c r="H56" s="10"/>
      <c r="I56" s="10"/>
      <c r="J56" s="9">
        <f>COUNTIF(C56:I56,"Y")</f>
        <v>0</v>
      </c>
      <c r="K56" s="21">
        <f>IFERROR(J56/7,"")</f>
        <v>0</v>
      </c>
    </row>
    <row r="57" spans="2:13" x14ac:dyDescent="0.2">
      <c r="B57" s="14"/>
      <c r="C57" s="10"/>
      <c r="D57" s="10"/>
      <c r="E57" s="10"/>
      <c r="F57" s="10"/>
      <c r="G57" s="10"/>
      <c r="H57" s="10"/>
      <c r="I57" s="10"/>
      <c r="J57" s="9">
        <f>COUNTIF(C57:I57,"Y")</f>
        <v>0</v>
      </c>
      <c r="K57" s="21">
        <f>IFERROR(J57/7,"")</f>
        <v>0</v>
      </c>
    </row>
    <row r="58" spans="2:13" x14ac:dyDescent="0.2">
      <c r="B58" s="14"/>
      <c r="C58" s="10"/>
      <c r="D58" s="10"/>
      <c r="E58" s="10"/>
      <c r="F58" s="10"/>
      <c r="G58" s="10"/>
      <c r="H58" s="10"/>
      <c r="I58" s="10"/>
      <c r="J58" s="9">
        <f>COUNTIF(C58:I58,"Y")</f>
        <v>0</v>
      </c>
      <c r="K58" s="21">
        <f>IFERROR(J58/7,"")</f>
        <v>0</v>
      </c>
    </row>
    <row r="59" spans="2:13" x14ac:dyDescent="0.2">
      <c r="B59" s="22" t="s">
        <v>104</v>
      </c>
      <c r="C59" s="19"/>
      <c r="D59" s="19"/>
      <c r="E59" s="19"/>
      <c r="F59" s="19"/>
      <c r="G59" s="19"/>
      <c r="H59" s="19"/>
      <c r="I59" s="19"/>
      <c r="J59" s="13">
        <f>SUM(J56:J58)</f>
        <v>0</v>
      </c>
      <c r="K59" s="23">
        <f>IFERROR(J59/21,"")</f>
        <v>0</v>
      </c>
    </row>
    <row r="61" spans="2:13" ht="16" x14ac:dyDescent="0.2">
      <c r="B61" s="17" t="s">
        <v>112</v>
      </c>
      <c r="C61" s="18" t="s">
        <v>93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2:13" ht="21.75" customHeight="1" x14ac:dyDescent="0.2">
      <c r="B62" s="20" t="s">
        <v>94</v>
      </c>
      <c r="C62" s="20" t="s">
        <v>95</v>
      </c>
      <c r="D62" s="20" t="s">
        <v>96</v>
      </c>
      <c r="E62" s="20" t="s">
        <v>97</v>
      </c>
      <c r="F62" s="20" t="s">
        <v>98</v>
      </c>
      <c r="G62" s="20" t="s">
        <v>99</v>
      </c>
      <c r="H62" s="20" t="s">
        <v>100</v>
      </c>
      <c r="I62" s="20" t="s">
        <v>101</v>
      </c>
      <c r="J62" s="20" t="s">
        <v>102</v>
      </c>
      <c r="K62" s="20" t="s">
        <v>103</v>
      </c>
    </row>
    <row r="63" spans="2:13" x14ac:dyDescent="0.2">
      <c r="B63" s="14"/>
      <c r="C63" s="10"/>
      <c r="D63" s="10"/>
      <c r="E63" s="10"/>
      <c r="F63" s="10"/>
      <c r="G63" s="10"/>
      <c r="H63" s="10"/>
      <c r="I63" s="10"/>
      <c r="J63" s="9">
        <f>COUNTIF(C63:I63,"Y")</f>
        <v>0</v>
      </c>
      <c r="K63" s="21">
        <f>IFERROR(J63/7,"")</f>
        <v>0</v>
      </c>
    </row>
    <row r="64" spans="2:13" x14ac:dyDescent="0.2">
      <c r="B64" s="14"/>
      <c r="C64" s="10"/>
      <c r="D64" s="10"/>
      <c r="E64" s="10"/>
      <c r="F64" s="10"/>
      <c r="G64" s="10"/>
      <c r="H64" s="10"/>
      <c r="I64" s="10"/>
      <c r="J64" s="9">
        <f>COUNTIF(C64:I64,"Y")</f>
        <v>0</v>
      </c>
      <c r="K64" s="21">
        <f>IFERROR(J64/7,"")</f>
        <v>0</v>
      </c>
    </row>
    <row r="65" spans="2:13" x14ac:dyDescent="0.2">
      <c r="B65" s="14"/>
      <c r="C65" s="10"/>
      <c r="D65" s="10"/>
      <c r="E65" s="10"/>
      <c r="F65" s="10"/>
      <c r="G65" s="10"/>
      <c r="H65" s="10"/>
      <c r="I65" s="10"/>
      <c r="J65" s="9">
        <f>COUNTIF(C65:I65,"Y")</f>
        <v>0</v>
      </c>
      <c r="K65" s="21">
        <f>IFERROR(J65/7,"")</f>
        <v>0</v>
      </c>
    </row>
    <row r="66" spans="2:13" x14ac:dyDescent="0.2">
      <c r="B66" s="22" t="s">
        <v>104</v>
      </c>
      <c r="C66" s="19"/>
      <c r="D66" s="19"/>
      <c r="E66" s="19"/>
      <c r="F66" s="19"/>
      <c r="G66" s="19"/>
      <c r="H66" s="19"/>
      <c r="I66" s="19"/>
      <c r="J66" s="13">
        <f>SUM(J63:J65)</f>
        <v>0</v>
      </c>
      <c r="K66" s="23">
        <f>IFERROR(J66/21,"")</f>
        <v>0</v>
      </c>
    </row>
    <row r="68" spans="2:13" ht="16" x14ac:dyDescent="0.2">
      <c r="B68" s="17" t="s">
        <v>113</v>
      </c>
      <c r="C68" s="18" t="s">
        <v>93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2:13" ht="21.75" customHeight="1" x14ac:dyDescent="0.2">
      <c r="B69" s="20" t="s">
        <v>94</v>
      </c>
      <c r="C69" s="20" t="s">
        <v>95</v>
      </c>
      <c r="D69" s="20" t="s">
        <v>96</v>
      </c>
      <c r="E69" s="20" t="s">
        <v>97</v>
      </c>
      <c r="F69" s="20" t="s">
        <v>98</v>
      </c>
      <c r="G69" s="20" t="s">
        <v>99</v>
      </c>
      <c r="H69" s="20" t="s">
        <v>100</v>
      </c>
      <c r="I69" s="20" t="s">
        <v>101</v>
      </c>
      <c r="J69" s="20" t="s">
        <v>102</v>
      </c>
      <c r="K69" s="20" t="s">
        <v>103</v>
      </c>
    </row>
    <row r="70" spans="2:13" x14ac:dyDescent="0.2">
      <c r="B70" s="14"/>
      <c r="C70" s="10"/>
      <c r="D70" s="10"/>
      <c r="E70" s="10"/>
      <c r="F70" s="10"/>
      <c r="G70" s="10"/>
      <c r="H70" s="10"/>
      <c r="I70" s="10"/>
      <c r="J70" s="9">
        <f>COUNTIF(C70:I70,"Y")</f>
        <v>0</v>
      </c>
      <c r="K70" s="21">
        <f>IFERROR(J70/7,"")</f>
        <v>0</v>
      </c>
    </row>
    <row r="71" spans="2:13" x14ac:dyDescent="0.2">
      <c r="B71" s="14"/>
      <c r="C71" s="10"/>
      <c r="D71" s="10"/>
      <c r="E71" s="10"/>
      <c r="F71" s="10"/>
      <c r="G71" s="10"/>
      <c r="H71" s="10"/>
      <c r="I71" s="10"/>
      <c r="J71" s="9">
        <f>COUNTIF(C71:I71,"Y")</f>
        <v>0</v>
      </c>
      <c r="K71" s="21">
        <f>IFERROR(J71/7,"")</f>
        <v>0</v>
      </c>
    </row>
    <row r="72" spans="2:13" x14ac:dyDescent="0.2">
      <c r="B72" s="14"/>
      <c r="C72" s="10"/>
      <c r="D72" s="10"/>
      <c r="E72" s="10"/>
      <c r="F72" s="10"/>
      <c r="G72" s="10"/>
      <c r="H72" s="10"/>
      <c r="I72" s="10"/>
      <c r="J72" s="9">
        <f>COUNTIF(C72:I72,"Y")</f>
        <v>0</v>
      </c>
      <c r="K72" s="21">
        <f>IFERROR(J72/7,"")</f>
        <v>0</v>
      </c>
    </row>
    <row r="73" spans="2:13" x14ac:dyDescent="0.2">
      <c r="B73" s="22" t="s">
        <v>104</v>
      </c>
      <c r="C73" s="19"/>
      <c r="D73" s="19"/>
      <c r="E73" s="19"/>
      <c r="F73" s="19"/>
      <c r="G73" s="19"/>
      <c r="H73" s="19"/>
      <c r="I73" s="19"/>
      <c r="J73" s="13">
        <f>SUM(J70:J72)</f>
        <v>0</v>
      </c>
      <c r="K73" s="23">
        <f>IFERROR(J73/21,"")</f>
        <v>0</v>
      </c>
    </row>
    <row r="75" spans="2:13" ht="16" x14ac:dyDescent="0.2">
      <c r="B75" s="17" t="s">
        <v>114</v>
      </c>
      <c r="C75" s="18" t="s">
        <v>93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2:13" ht="21.75" customHeight="1" x14ac:dyDescent="0.2">
      <c r="B76" s="20" t="s">
        <v>94</v>
      </c>
      <c r="C76" s="20" t="s">
        <v>95</v>
      </c>
      <c r="D76" s="20" t="s">
        <v>96</v>
      </c>
      <c r="E76" s="20" t="s">
        <v>97</v>
      </c>
      <c r="F76" s="20" t="s">
        <v>98</v>
      </c>
      <c r="G76" s="20" t="s">
        <v>99</v>
      </c>
      <c r="H76" s="20" t="s">
        <v>100</v>
      </c>
      <c r="I76" s="20" t="s">
        <v>101</v>
      </c>
      <c r="J76" s="20" t="s">
        <v>102</v>
      </c>
      <c r="K76" s="20" t="s">
        <v>103</v>
      </c>
    </row>
    <row r="77" spans="2:13" x14ac:dyDescent="0.2">
      <c r="B77" s="14"/>
      <c r="C77" s="10"/>
      <c r="D77" s="10"/>
      <c r="E77" s="10"/>
      <c r="F77" s="10"/>
      <c r="G77" s="10"/>
      <c r="H77" s="10"/>
      <c r="I77" s="10"/>
      <c r="J77" s="9">
        <f>COUNTIF(C77:I77,"Y")</f>
        <v>0</v>
      </c>
      <c r="K77" s="21">
        <f>IFERROR(J77/7,"")</f>
        <v>0</v>
      </c>
    </row>
    <row r="78" spans="2:13" x14ac:dyDescent="0.2">
      <c r="B78" s="14"/>
      <c r="C78" s="10"/>
      <c r="D78" s="10"/>
      <c r="E78" s="10"/>
      <c r="F78" s="10"/>
      <c r="G78" s="10"/>
      <c r="H78" s="10"/>
      <c r="I78" s="10"/>
      <c r="J78" s="9">
        <f>COUNTIF(C78:I78,"Y")</f>
        <v>0</v>
      </c>
      <c r="K78" s="21">
        <f>IFERROR(J78/7,"")</f>
        <v>0</v>
      </c>
    </row>
    <row r="79" spans="2:13" x14ac:dyDescent="0.2">
      <c r="B79" s="14"/>
      <c r="C79" s="10"/>
      <c r="D79" s="10"/>
      <c r="E79" s="10"/>
      <c r="F79" s="10"/>
      <c r="G79" s="10"/>
      <c r="H79" s="10"/>
      <c r="I79" s="10"/>
      <c r="J79" s="9">
        <f>COUNTIF(C79:I79,"Y")</f>
        <v>0</v>
      </c>
      <c r="K79" s="21">
        <f>IFERROR(J79/7,"")</f>
        <v>0</v>
      </c>
    </row>
    <row r="80" spans="2:13" x14ac:dyDescent="0.2">
      <c r="B80" s="22" t="s">
        <v>104</v>
      </c>
      <c r="C80" s="19"/>
      <c r="D80" s="19"/>
      <c r="E80" s="19"/>
      <c r="F80" s="19"/>
      <c r="G80" s="19"/>
      <c r="H80" s="19"/>
      <c r="I80" s="19"/>
      <c r="J80" s="13">
        <f>SUM(J77:J79)</f>
        <v>0</v>
      </c>
      <c r="K80" s="23">
        <f>IFERROR(J80/21,"")</f>
        <v>0</v>
      </c>
    </row>
    <row r="82" spans="2:13" ht="16" x14ac:dyDescent="0.2">
      <c r="B82" s="17" t="s">
        <v>115</v>
      </c>
      <c r="C82" s="18" t="s">
        <v>93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2:13" ht="21.75" customHeight="1" x14ac:dyDescent="0.2">
      <c r="B83" s="20" t="s">
        <v>94</v>
      </c>
      <c r="C83" s="20" t="s">
        <v>95</v>
      </c>
      <c r="D83" s="20" t="s">
        <v>96</v>
      </c>
      <c r="E83" s="20" t="s">
        <v>97</v>
      </c>
      <c r="F83" s="20" t="s">
        <v>98</v>
      </c>
      <c r="G83" s="20" t="s">
        <v>99</v>
      </c>
      <c r="H83" s="20" t="s">
        <v>100</v>
      </c>
      <c r="I83" s="20" t="s">
        <v>101</v>
      </c>
      <c r="J83" s="20" t="s">
        <v>102</v>
      </c>
      <c r="K83" s="20" t="s">
        <v>103</v>
      </c>
    </row>
    <row r="84" spans="2:13" x14ac:dyDescent="0.2">
      <c r="B84" s="14"/>
      <c r="C84" s="10"/>
      <c r="D84" s="10"/>
      <c r="E84" s="10"/>
      <c r="F84" s="10"/>
      <c r="G84" s="10"/>
      <c r="H84" s="10"/>
      <c r="I84" s="10"/>
      <c r="J84" s="9">
        <f>COUNTIF(C84:I84,"Y")</f>
        <v>0</v>
      </c>
      <c r="K84" s="21">
        <f>IFERROR(J84/7,"")</f>
        <v>0</v>
      </c>
    </row>
    <row r="85" spans="2:13" x14ac:dyDescent="0.2">
      <c r="B85" s="14"/>
      <c r="C85" s="10"/>
      <c r="D85" s="10"/>
      <c r="E85" s="10"/>
      <c r="F85" s="10"/>
      <c r="G85" s="10"/>
      <c r="H85" s="10"/>
      <c r="I85" s="10"/>
      <c r="J85" s="9">
        <f>COUNTIF(C85:I85,"Y")</f>
        <v>0</v>
      </c>
      <c r="K85" s="21">
        <f>IFERROR(J85/7,"")</f>
        <v>0</v>
      </c>
    </row>
    <row r="86" spans="2:13" x14ac:dyDescent="0.2">
      <c r="B86" s="14"/>
      <c r="C86" s="10"/>
      <c r="D86" s="10"/>
      <c r="E86" s="10"/>
      <c r="F86" s="10"/>
      <c r="G86" s="10"/>
      <c r="H86" s="10"/>
      <c r="I86" s="10"/>
      <c r="J86" s="9">
        <f>COUNTIF(C86:I86,"Y")</f>
        <v>0</v>
      </c>
      <c r="K86" s="21">
        <f>IFERROR(J86/7,"")</f>
        <v>0</v>
      </c>
    </row>
    <row r="87" spans="2:13" x14ac:dyDescent="0.2">
      <c r="B87" s="22" t="s">
        <v>104</v>
      </c>
      <c r="C87" s="19"/>
      <c r="D87" s="19"/>
      <c r="E87" s="19"/>
      <c r="F87" s="19"/>
      <c r="G87" s="19"/>
      <c r="H87" s="19"/>
      <c r="I87" s="19"/>
      <c r="J87" s="13">
        <f>SUM(J84:J86)</f>
        <v>0</v>
      </c>
      <c r="K87" s="23">
        <f>IFERROR(J87/21,"")</f>
        <v>0</v>
      </c>
    </row>
    <row r="89" spans="2:13" x14ac:dyDescent="0.2">
      <c r="B89" s="2" t="s">
        <v>116</v>
      </c>
    </row>
  </sheetData>
  <dataValidations count="1">
    <dataValidation type="list" allowBlank="1" sqref="C7:I9 C14:I16 C21:I23 C28:I30 C35:I37 C42:I44 C49:I51 C56:I58 C63:I65 C70:I72 C77:I79 C84:I86" xr:uid="{00000000-0002-0000-05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1"/>
  <sheetViews>
    <sheetView showGridLines="0" tabSelected="1" zoomScale="185" zoomScaleNormal="100" workbookViewId="0"/>
  </sheetViews>
  <sheetFormatPr baseColWidth="10" defaultColWidth="8.6640625" defaultRowHeight="15" x14ac:dyDescent="0.2"/>
  <cols>
    <col min="1" max="1" width="2" customWidth="1"/>
    <col min="2" max="2" width="14" customWidth="1"/>
    <col min="3" max="7" width="15" customWidth="1"/>
    <col min="8" max="8" width="16" customWidth="1"/>
  </cols>
  <sheetData>
    <row r="2" spans="2:8" ht="20" x14ac:dyDescent="0.2">
      <c r="B2" s="1" t="s">
        <v>117</v>
      </c>
    </row>
    <row r="3" spans="2:8" x14ac:dyDescent="0.2">
      <c r="B3" s="2" t="s">
        <v>118</v>
      </c>
    </row>
    <row r="5" spans="2:8" ht="27.75" customHeight="1" x14ac:dyDescent="0.2">
      <c r="B5" s="8" t="s">
        <v>19</v>
      </c>
      <c r="C5" s="8" t="s">
        <v>119</v>
      </c>
      <c r="D5" s="8" t="s">
        <v>120</v>
      </c>
      <c r="E5" s="8" t="s">
        <v>121</v>
      </c>
      <c r="F5" s="8" t="s">
        <v>122</v>
      </c>
      <c r="G5" s="8" t="s">
        <v>123</v>
      </c>
      <c r="H5" s="8" t="s">
        <v>124</v>
      </c>
    </row>
    <row r="6" spans="2:8" x14ac:dyDescent="0.2">
      <c r="B6" s="9" t="s">
        <v>28</v>
      </c>
      <c r="C6" s="10"/>
      <c r="D6" s="10"/>
      <c r="E6" s="10"/>
      <c r="F6" s="10"/>
      <c r="G6" s="10"/>
      <c r="H6" s="9" t="str">
        <f t="shared" ref="H6:H17" si="0">IFERROR(ROUND(AVERAGE(C6:G6),1),"")</f>
        <v/>
      </c>
    </row>
    <row r="7" spans="2:8" x14ac:dyDescent="0.2">
      <c r="B7" s="9" t="s">
        <v>29</v>
      </c>
      <c r="C7" s="10"/>
      <c r="D7" s="10"/>
      <c r="E7" s="10"/>
      <c r="F7" s="10"/>
      <c r="G7" s="10"/>
      <c r="H7" s="9" t="str">
        <f t="shared" si="0"/>
        <v/>
      </c>
    </row>
    <row r="8" spans="2:8" x14ac:dyDescent="0.2">
      <c r="B8" s="9" t="s">
        <v>30</v>
      </c>
      <c r="C8" s="10"/>
      <c r="D8" s="10"/>
      <c r="E8" s="10"/>
      <c r="F8" s="10"/>
      <c r="G8" s="10"/>
      <c r="H8" s="9" t="str">
        <f t="shared" si="0"/>
        <v/>
      </c>
    </row>
    <row r="9" spans="2:8" x14ac:dyDescent="0.2">
      <c r="B9" s="9" t="s">
        <v>31</v>
      </c>
      <c r="C9" s="10"/>
      <c r="D9" s="10"/>
      <c r="E9" s="10"/>
      <c r="F9" s="10"/>
      <c r="G9" s="10"/>
      <c r="H9" s="9" t="str">
        <f t="shared" si="0"/>
        <v/>
      </c>
    </row>
    <row r="10" spans="2:8" x14ac:dyDescent="0.2">
      <c r="B10" s="9" t="s">
        <v>32</v>
      </c>
      <c r="C10" s="10"/>
      <c r="D10" s="10"/>
      <c r="E10" s="10"/>
      <c r="F10" s="10"/>
      <c r="G10" s="10"/>
      <c r="H10" s="9" t="str">
        <f t="shared" si="0"/>
        <v/>
      </c>
    </row>
    <row r="11" spans="2:8" x14ac:dyDescent="0.2">
      <c r="B11" s="9" t="s">
        <v>33</v>
      </c>
      <c r="C11" s="10"/>
      <c r="D11" s="10"/>
      <c r="E11" s="10"/>
      <c r="F11" s="10"/>
      <c r="G11" s="10"/>
      <c r="H11" s="9" t="str">
        <f t="shared" si="0"/>
        <v/>
      </c>
    </row>
    <row r="12" spans="2:8" x14ac:dyDescent="0.2">
      <c r="B12" s="9" t="s">
        <v>34</v>
      </c>
      <c r="C12" s="10"/>
      <c r="D12" s="10"/>
      <c r="E12" s="10"/>
      <c r="F12" s="10"/>
      <c r="G12" s="10"/>
      <c r="H12" s="9" t="str">
        <f t="shared" si="0"/>
        <v/>
      </c>
    </row>
    <row r="13" spans="2:8" x14ac:dyDescent="0.2">
      <c r="B13" s="9" t="s">
        <v>35</v>
      </c>
      <c r="C13" s="10"/>
      <c r="D13" s="10"/>
      <c r="E13" s="10"/>
      <c r="F13" s="10"/>
      <c r="G13" s="10"/>
      <c r="H13" s="9" t="str">
        <f t="shared" si="0"/>
        <v/>
      </c>
    </row>
    <row r="14" spans="2:8" x14ac:dyDescent="0.2">
      <c r="B14" s="9" t="s">
        <v>36</v>
      </c>
      <c r="C14" s="10"/>
      <c r="D14" s="10"/>
      <c r="E14" s="10"/>
      <c r="F14" s="10"/>
      <c r="G14" s="10"/>
      <c r="H14" s="9" t="str">
        <f t="shared" si="0"/>
        <v/>
      </c>
    </row>
    <row r="15" spans="2:8" x14ac:dyDescent="0.2">
      <c r="B15" s="9" t="s">
        <v>37</v>
      </c>
      <c r="C15" s="10"/>
      <c r="D15" s="10"/>
      <c r="E15" s="10"/>
      <c r="F15" s="10"/>
      <c r="G15" s="10"/>
      <c r="H15" s="9" t="str">
        <f t="shared" si="0"/>
        <v/>
      </c>
    </row>
    <row r="16" spans="2:8" x14ac:dyDescent="0.2">
      <c r="B16" s="9" t="s">
        <v>38</v>
      </c>
      <c r="C16" s="10"/>
      <c r="D16" s="10"/>
      <c r="E16" s="10"/>
      <c r="F16" s="10"/>
      <c r="G16" s="10"/>
      <c r="H16" s="9" t="str">
        <f t="shared" si="0"/>
        <v/>
      </c>
    </row>
    <row r="17" spans="2:8" x14ac:dyDescent="0.2">
      <c r="B17" s="9" t="s">
        <v>39</v>
      </c>
      <c r="C17" s="10"/>
      <c r="D17" s="10"/>
      <c r="E17" s="10"/>
      <c r="F17" s="10"/>
      <c r="G17" s="10"/>
      <c r="H17" s="9" t="str">
        <f t="shared" si="0"/>
        <v/>
      </c>
    </row>
    <row r="19" spans="2:8" x14ac:dyDescent="0.2">
      <c r="B19" s="24" t="s">
        <v>125</v>
      </c>
      <c r="H19" s="13" t="str">
        <f>IFERROR(IF(COUNT(H6:H17)&lt;2,"",LOOKUP(9.99E+307,H6:H17)-H6),"")</f>
        <v/>
      </c>
    </row>
    <row r="21" spans="2:8" x14ac:dyDescent="0.2">
      <c r="B21" s="2" t="s">
        <v>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Measurements</vt:lpstr>
      <vt:lpstr>Reports</vt:lpstr>
      <vt:lpstr>Food Tracker</vt:lpstr>
      <vt:lpstr>Movement Tracker</vt:lpstr>
      <vt:lpstr>Habit Tracker</vt:lpstr>
      <vt:lpstr>Weekly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Shivangi Desai</cp:lastModifiedBy>
  <cp:revision>0</cp:revision>
  <dcterms:created xsi:type="dcterms:W3CDTF">2026-09-25T11:17:10Z</dcterms:created>
  <dcterms:modified xsi:type="dcterms:W3CDTF">2026-09-25T12:02:09Z</dcterms:modified>
  <dc:language>en-US</dc:language>
</cp:coreProperties>
</file>